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DesignSpark_PMK\G29_HX711_Pedals_ESP32\"/>
    </mc:Choice>
  </mc:AlternateContent>
  <xr:revisionPtr revIDLastSave="0" documentId="13_ncr:1_{7C0BB66A-CE0F-4EC8-ABE8-7BD4134DCC03}" xr6:coauthVersionLast="45" xr6:coauthVersionMax="45" xr10:uidLastSave="{00000000-0000-0000-0000-000000000000}"/>
  <bookViews>
    <workbookView xWindow="-108" yWindow="-108" windowWidth="23256" windowHeight="12576" activeTab="2" xr2:uid="{AA395115-4681-4512-ADAB-C7634538059D}"/>
  </bookViews>
  <sheets>
    <sheet name="Tabelle1" sheetId="1" r:id="rId1"/>
    <sheet name="G29 Break Force RAW-DATA" sheetId="2" r:id="rId2"/>
    <sheet name="G29 Break Force RAW-DATA (2)" sheetId="4" r:id="rId3"/>
    <sheet name="G29 Break Force Corrected" sheetId="3" r:id="rId4"/>
    <sheet name="mapping" sheetId="6" r:id="rId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6" l="1"/>
  <c r="L15" i="6" s="1"/>
  <c r="J18" i="6"/>
  <c r="B10" i="6"/>
  <c r="G10" i="6" s="1"/>
  <c r="P13" i="6" s="1"/>
  <c r="B11" i="6"/>
  <c r="G11" i="6" s="1"/>
  <c r="P14" i="6" s="1"/>
  <c r="K10" i="6"/>
  <c r="G3" i="6"/>
  <c r="I236" i="4"/>
  <c r="H236" i="4"/>
  <c r="G236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153" i="4"/>
  <c r="H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153" i="4"/>
  <c r="L154" i="4"/>
  <c r="L155" i="4"/>
  <c r="L156" i="4"/>
  <c r="L157" i="4"/>
  <c r="L170" i="4"/>
  <c r="L171" i="4"/>
  <c r="L172" i="4"/>
  <c r="L173" i="4"/>
  <c r="L174" i="4"/>
  <c r="L175" i="4"/>
  <c r="L176" i="4"/>
  <c r="L177" i="4"/>
  <c r="L178" i="4"/>
  <c r="L223" i="4"/>
  <c r="L224" i="4"/>
  <c r="L153" i="4"/>
  <c r="K179" i="4"/>
  <c r="L179" i="4" s="1"/>
  <c r="K222" i="4"/>
  <c r="L222" i="4" s="1"/>
  <c r="K221" i="4"/>
  <c r="L221" i="4" s="1"/>
  <c r="K225" i="4"/>
  <c r="L225" i="4" s="1"/>
  <c r="K226" i="4"/>
  <c r="L226" i="4" s="1"/>
  <c r="K227" i="4"/>
  <c r="L227" i="4" s="1"/>
  <c r="K228" i="4"/>
  <c r="L228" i="4" s="1"/>
  <c r="K229" i="4"/>
  <c r="L229" i="4" s="1"/>
  <c r="K230" i="4"/>
  <c r="L230" i="4" s="1"/>
  <c r="K231" i="4"/>
  <c r="K211" i="4"/>
  <c r="L211" i="4" s="1"/>
  <c r="K212" i="4"/>
  <c r="L212" i="4" s="1"/>
  <c r="K213" i="4"/>
  <c r="L213" i="4" s="1"/>
  <c r="K214" i="4"/>
  <c r="L214" i="4" s="1"/>
  <c r="K215" i="4"/>
  <c r="L215" i="4" s="1"/>
  <c r="K216" i="4"/>
  <c r="L216" i="4" s="1"/>
  <c r="K217" i="4"/>
  <c r="L217" i="4" s="1"/>
  <c r="K218" i="4"/>
  <c r="L218" i="4" s="1"/>
  <c r="K219" i="4"/>
  <c r="L219" i="4" s="1"/>
  <c r="K220" i="4"/>
  <c r="L220" i="4" s="1"/>
  <c r="K192" i="4"/>
  <c r="L192" i="4" s="1"/>
  <c r="K193" i="4"/>
  <c r="L193" i="4" s="1"/>
  <c r="K194" i="4"/>
  <c r="L194" i="4" s="1"/>
  <c r="K195" i="4"/>
  <c r="L195" i="4" s="1"/>
  <c r="K196" i="4"/>
  <c r="L196" i="4" s="1"/>
  <c r="K197" i="4"/>
  <c r="L197" i="4" s="1"/>
  <c r="K198" i="4"/>
  <c r="L198" i="4" s="1"/>
  <c r="K199" i="4"/>
  <c r="L199" i="4" s="1"/>
  <c r="K200" i="4"/>
  <c r="L200" i="4" s="1"/>
  <c r="K201" i="4"/>
  <c r="L201" i="4" s="1"/>
  <c r="K202" i="4"/>
  <c r="L202" i="4" s="1"/>
  <c r="K203" i="4"/>
  <c r="L203" i="4" s="1"/>
  <c r="K204" i="4"/>
  <c r="L204" i="4" s="1"/>
  <c r="K205" i="4"/>
  <c r="L205" i="4" s="1"/>
  <c r="K206" i="4"/>
  <c r="L206" i="4" s="1"/>
  <c r="K207" i="4"/>
  <c r="L207" i="4" s="1"/>
  <c r="K208" i="4"/>
  <c r="L208" i="4" s="1"/>
  <c r="K209" i="4"/>
  <c r="L209" i="4" s="1"/>
  <c r="K210" i="4"/>
  <c r="L210" i="4" s="1"/>
  <c r="K180" i="4"/>
  <c r="L180" i="4" s="1"/>
  <c r="K181" i="4"/>
  <c r="L181" i="4" s="1"/>
  <c r="K182" i="4"/>
  <c r="L182" i="4" s="1"/>
  <c r="K183" i="4"/>
  <c r="L183" i="4" s="1"/>
  <c r="K184" i="4"/>
  <c r="L184" i="4" s="1"/>
  <c r="K185" i="4"/>
  <c r="L185" i="4" s="1"/>
  <c r="K186" i="4"/>
  <c r="L186" i="4" s="1"/>
  <c r="K187" i="4"/>
  <c r="L187" i="4" s="1"/>
  <c r="K188" i="4"/>
  <c r="L188" i="4" s="1"/>
  <c r="K189" i="4"/>
  <c r="L189" i="4" s="1"/>
  <c r="K190" i="4"/>
  <c r="L190" i="4" s="1"/>
  <c r="K191" i="4"/>
  <c r="L191" i="4" s="1"/>
  <c r="K158" i="4"/>
  <c r="L158" i="4" s="1"/>
  <c r="K159" i="4"/>
  <c r="L159" i="4" s="1"/>
  <c r="K160" i="4"/>
  <c r="L160" i="4" s="1"/>
  <c r="K161" i="4"/>
  <c r="L161" i="4" s="1"/>
  <c r="K162" i="4"/>
  <c r="L162" i="4" s="1"/>
  <c r="K163" i="4"/>
  <c r="L163" i="4" s="1"/>
  <c r="K164" i="4"/>
  <c r="L164" i="4" s="1"/>
  <c r="K165" i="4"/>
  <c r="L165" i="4" s="1"/>
  <c r="K166" i="4"/>
  <c r="L166" i="4" s="1"/>
  <c r="K167" i="4"/>
  <c r="L167" i="4" s="1"/>
  <c r="K168" i="4"/>
  <c r="L168" i="4" s="1"/>
  <c r="K169" i="4"/>
  <c r="L169" i="4" s="1"/>
  <c r="C153" i="4"/>
  <c r="D223" i="4"/>
  <c r="C223" i="4" s="1"/>
  <c r="D206" i="4"/>
  <c r="C206" i="4" s="1"/>
  <c r="D189" i="4"/>
  <c r="C189" i="4" s="1"/>
  <c r="D176" i="4"/>
  <c r="C176" i="4" s="1"/>
  <c r="E233" i="4"/>
  <c r="C213" i="4"/>
  <c r="C197" i="4"/>
  <c r="C182" i="4"/>
  <c r="C173" i="4"/>
  <c r="C170" i="4"/>
  <c r="C167" i="4"/>
  <c r="C165" i="4"/>
  <c r="C162" i="4"/>
  <c r="C161" i="4"/>
  <c r="C160" i="4"/>
  <c r="D159" i="4"/>
  <c r="C159" i="4" s="1"/>
  <c r="C158" i="4"/>
  <c r="C157" i="4"/>
  <c r="C156" i="4"/>
  <c r="C155" i="4"/>
  <c r="C154" i="4"/>
  <c r="B114" i="3"/>
  <c r="A114" i="3"/>
  <c r="B112" i="3"/>
  <c r="A112" i="3"/>
  <c r="B153" i="3"/>
  <c r="A155" i="3"/>
  <c r="B155" i="3"/>
  <c r="C173" i="2"/>
  <c r="C167" i="2"/>
  <c r="D159" i="2"/>
  <c r="C159" i="2" s="1"/>
  <c r="C161" i="2"/>
  <c r="C158" i="2"/>
  <c r="C156" i="2"/>
  <c r="C213" i="2"/>
  <c r="C197" i="2"/>
  <c r="C182" i="2"/>
  <c r="C162" i="2"/>
  <c r="C157" i="2"/>
  <c r="C154" i="2"/>
  <c r="C155" i="2"/>
  <c r="C160" i="2"/>
  <c r="C165" i="2"/>
  <c r="C170" i="2"/>
  <c r="C189" i="2"/>
  <c r="E233" i="2"/>
  <c r="G4" i="6" l="1"/>
  <c r="J14" i="6" s="1"/>
  <c r="K13" i="6" s="1"/>
  <c r="M13" i="6" s="1"/>
  <c r="O13" i="6" s="1"/>
  <c r="H154" i="4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5" i="1"/>
  <c r="C2" i="1"/>
  <c r="K15" i="6" l="1"/>
  <c r="M15" i="6" s="1"/>
  <c r="O15" i="6" s="1"/>
  <c r="N13" i="6"/>
  <c r="N15" i="6" l="1"/>
  <c r="N16" i="6" s="1"/>
  <c r="N17" i="6" s="1"/>
</calcChain>
</file>

<file path=xl/sharedStrings.xml><?xml version="1.0" encoding="utf-8"?>
<sst xmlns="http://schemas.openxmlformats.org/spreadsheetml/2006/main" count="62" uniqueCount="50">
  <si>
    <t>DAC1(25)</t>
  </si>
  <si>
    <t>DAC2(26)</t>
  </si>
  <si>
    <t>1,0,33</t>
  </si>
  <si>
    <t>BIT</t>
  </si>
  <si>
    <t>Ref Voltage on VCC</t>
  </si>
  <si>
    <t>Max at 255 bit</t>
  </si>
  <si>
    <t>Theoreitsch</t>
  </si>
  <si>
    <t>Delta</t>
  </si>
  <si>
    <t>-0,0013x3 + 0,6987x2 - 125,65x + 7608,1</t>
  </si>
  <si>
    <t>= -0,7811x + 182,15</t>
  </si>
  <si>
    <t>= -1,5625x + 353,13</t>
  </si>
  <si>
    <t>Linear (Teorie)</t>
  </si>
  <si>
    <t>Acctually</t>
  </si>
  <si>
    <t>Linearisiert</t>
  </si>
  <si>
    <t>Bit</t>
  </si>
  <si>
    <t>Load %</t>
  </si>
  <si>
    <t>Theo Mid Point</t>
  </si>
  <si>
    <t>Steps</t>
  </si>
  <si>
    <t>Steps between</t>
  </si>
  <si>
    <t>min kg</t>
  </si>
  <si>
    <t>max kg</t>
  </si>
  <si>
    <t>out min kg</t>
  </si>
  <si>
    <t>out max kg</t>
  </si>
  <si>
    <t>value in kg</t>
  </si>
  <si>
    <t>value out kg</t>
  </si>
  <si>
    <t>value in BIT</t>
  </si>
  <si>
    <t>in min BIT</t>
  </si>
  <si>
    <t>in max BIT</t>
  </si>
  <si>
    <t>out min BIT</t>
  </si>
  <si>
    <t>out max BIT</t>
  </si>
  <si>
    <t>value out BIT</t>
  </si>
  <si>
    <t>Load_Percent</t>
  </si>
  <si>
    <t>Lower Band</t>
  </si>
  <si>
    <t>Upper Band</t>
  </si>
  <si>
    <t>Lower Band %</t>
  </si>
  <si>
    <t>Upper Band %</t>
  </si>
  <si>
    <t>N Lower BIT</t>
  </si>
  <si>
    <t>N Upper BIT</t>
  </si>
  <si>
    <t>Avergage Band %</t>
  </si>
  <si>
    <t>Step 1</t>
  </si>
  <si>
    <t>Step 2</t>
  </si>
  <si>
    <t>Step 3</t>
  </si>
  <si>
    <t>Result from Step 2</t>
  </si>
  <si>
    <t>Value in %</t>
  </si>
  <si>
    <t>Weight</t>
  </si>
  <si>
    <t>%</t>
  </si>
  <si>
    <t>Calulated</t>
  </si>
  <si>
    <t xml:space="preserve">PWM Times </t>
  </si>
  <si>
    <t>%:</t>
  </si>
  <si>
    <t>Gamma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</si>
</sst>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595959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center" vertical="center" readingOrder="1"/>
    </xf>
    <xf numFmtId="0" fontId="0" fillId="2" borderId="0" xfId="0" applyFill="1"/>
    <xf numFmtId="2" fontId="0" fillId="2" borderId="0" xfId="0" applyNumberFormat="1" applyFill="1"/>
    <xf numFmtId="0" fontId="0" fillId="0" borderId="0" xfId="0" quotePrefix="1"/>
    <xf numFmtId="0" fontId="0" fillId="3" borderId="0" xfId="0" quotePrefix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quotePrefix="1" applyAlignment="1"/>
    <xf numFmtId="0" fontId="1" fillId="0" borderId="0" xfId="0" applyFont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0" fontId="0" fillId="0" borderId="0" xfId="0" quotePrefix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5061767279090114"/>
                  <c:y val="-9.6759259259259264E-3"/>
                </c:manualLayout>
              </c:layout>
              <c:numFmt formatCode="General" sourceLinked="0"/>
              <c:spPr>
                <a:noFill/>
                <a:ln>
                  <a:solidFill>
                    <a:srgbClr val="FF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val>
            <c:numRef>
              <c:f>Tabelle1!$C$5:$C$260</c:f>
              <c:numCache>
                <c:formatCode>#,##0.000</c:formatCode>
                <c:ptCount val="256"/>
                <c:pt idx="0">
                  <c:v>0.1067</c:v>
                </c:pt>
                <c:pt idx="1">
                  <c:v>0.11799999999999999</c:v>
                </c:pt>
                <c:pt idx="2">
                  <c:v>0.125</c:v>
                </c:pt>
                <c:pt idx="3">
                  <c:v>0.13500000000000001</c:v>
                </c:pt>
                <c:pt idx="4">
                  <c:v>0.14499999999999999</c:v>
                </c:pt>
                <c:pt idx="5">
                  <c:v>0.156</c:v>
                </c:pt>
                <c:pt idx="6">
                  <c:v>0.16800000000000001</c:v>
                </c:pt>
                <c:pt idx="7">
                  <c:v>0.183</c:v>
                </c:pt>
                <c:pt idx="8">
                  <c:v>0.19500000000000001</c:v>
                </c:pt>
                <c:pt idx="9">
                  <c:v>0.20399999999999999</c:v>
                </c:pt>
                <c:pt idx="10">
                  <c:v>0.218</c:v>
                </c:pt>
                <c:pt idx="11">
                  <c:v>0.22800000000000001</c:v>
                </c:pt>
                <c:pt idx="12">
                  <c:v>0.23899999999999999</c:v>
                </c:pt>
                <c:pt idx="13">
                  <c:v>0.252</c:v>
                </c:pt>
                <c:pt idx="14">
                  <c:v>0.26500000000000001</c:v>
                </c:pt>
                <c:pt idx="15">
                  <c:v>0.27</c:v>
                </c:pt>
                <c:pt idx="16">
                  <c:v>0.29599999999999999</c:v>
                </c:pt>
                <c:pt idx="17">
                  <c:v>0.28599999999999998</c:v>
                </c:pt>
                <c:pt idx="18">
                  <c:v>0.28999999999999998</c:v>
                </c:pt>
                <c:pt idx="19">
                  <c:v>0.308</c:v>
                </c:pt>
                <c:pt idx="20">
                  <c:v>0.312</c:v>
                </c:pt>
                <c:pt idx="21">
                  <c:v>0.33900000000000002</c:v>
                </c:pt>
                <c:pt idx="22">
                  <c:v>0.34799999999999998</c:v>
                </c:pt>
                <c:pt idx="23">
                  <c:v>0.36</c:v>
                </c:pt>
                <c:pt idx="24">
                  <c:v>0.374</c:v>
                </c:pt>
                <c:pt idx="25">
                  <c:v>0.38</c:v>
                </c:pt>
                <c:pt idx="26">
                  <c:v>0.39800000000000002</c:v>
                </c:pt>
                <c:pt idx="27">
                  <c:v>0.40100000000000002</c:v>
                </c:pt>
                <c:pt idx="28">
                  <c:v>0.41899999999999998</c:v>
                </c:pt>
                <c:pt idx="29">
                  <c:v>0.42499999999999999</c:v>
                </c:pt>
                <c:pt idx="30">
                  <c:v>0.44</c:v>
                </c:pt>
                <c:pt idx="31">
                  <c:v>0.45100000000000001</c:v>
                </c:pt>
                <c:pt idx="32">
                  <c:v>0.46</c:v>
                </c:pt>
                <c:pt idx="33">
                  <c:v>0.47499999999999998</c:v>
                </c:pt>
                <c:pt idx="34">
                  <c:v>0.48099999999999998</c:v>
                </c:pt>
                <c:pt idx="35">
                  <c:v>0.499</c:v>
                </c:pt>
                <c:pt idx="36">
                  <c:v>0.502</c:v>
                </c:pt>
                <c:pt idx="37">
                  <c:v>0.52</c:v>
                </c:pt>
                <c:pt idx="38">
                  <c:v>0.52900000000000003</c:v>
                </c:pt>
                <c:pt idx="39">
                  <c:v>0.54</c:v>
                </c:pt>
                <c:pt idx="40">
                  <c:v>0.56000000000000005</c:v>
                </c:pt>
                <c:pt idx="41">
                  <c:v>0.56999999999999995</c:v>
                </c:pt>
                <c:pt idx="42">
                  <c:v>0.58899999999999997</c:v>
                </c:pt>
                <c:pt idx="43">
                  <c:v>0.59199999999999997</c:v>
                </c:pt>
                <c:pt idx="44">
                  <c:v>0.60899999999999999</c:v>
                </c:pt>
                <c:pt idx="45">
                  <c:v>0.61799999999999999</c:v>
                </c:pt>
                <c:pt idx="46">
                  <c:v>0.63</c:v>
                </c:pt>
                <c:pt idx="47">
                  <c:v>0.64600000000000002</c:v>
                </c:pt>
                <c:pt idx="48">
                  <c:v>0.65100000000000002</c:v>
                </c:pt>
                <c:pt idx="49">
                  <c:v>0.66800000000000004</c:v>
                </c:pt>
                <c:pt idx="50">
                  <c:v>0.67100000000000004</c:v>
                </c:pt>
                <c:pt idx="51">
                  <c:v>0.68899999999999995</c:v>
                </c:pt>
                <c:pt idx="52">
                  <c:v>0.70399999999999996</c:v>
                </c:pt>
                <c:pt idx="53">
                  <c:v>0.73</c:v>
                </c:pt>
                <c:pt idx="54">
                  <c:v>0.74399999999999999</c:v>
                </c:pt>
                <c:pt idx="55">
                  <c:v>0.75</c:v>
                </c:pt>
                <c:pt idx="56">
                  <c:v>0.77700000000000002</c:v>
                </c:pt>
                <c:pt idx="57">
                  <c:v>0.78200000000000003</c:v>
                </c:pt>
                <c:pt idx="58">
                  <c:v>0.79900000000000004</c:v>
                </c:pt>
                <c:pt idx="59">
                  <c:v>0.80300000000000005</c:v>
                </c:pt>
                <c:pt idx="60">
                  <c:v>0.82</c:v>
                </c:pt>
                <c:pt idx="61">
                  <c:v>0.82899999999999996</c:v>
                </c:pt>
                <c:pt idx="62">
                  <c:v>0.84</c:v>
                </c:pt>
                <c:pt idx="63">
                  <c:v>0.85699999999999998</c:v>
                </c:pt>
                <c:pt idx="64">
                  <c:v>0.86399999999999999</c:v>
                </c:pt>
                <c:pt idx="65">
                  <c:v>0.88</c:v>
                </c:pt>
                <c:pt idx="66">
                  <c:v>0.89600000000000002</c:v>
                </c:pt>
                <c:pt idx="67">
                  <c:v>0.9</c:v>
                </c:pt>
                <c:pt idx="68">
                  <c:v>0.90800000000000003</c:v>
                </c:pt>
                <c:pt idx="69">
                  <c:v>0.93</c:v>
                </c:pt>
                <c:pt idx="70">
                  <c:v>0.93899999999999995</c:v>
                </c:pt>
                <c:pt idx="71">
                  <c:v>0.94299999999999995</c:v>
                </c:pt>
                <c:pt idx="72">
                  <c:v>0.96</c:v>
                </c:pt>
                <c:pt idx="73">
                  <c:v>0.97599999999999998</c:v>
                </c:pt>
                <c:pt idx="74">
                  <c:v>0.98</c:v>
                </c:pt>
                <c:pt idx="75">
                  <c:v>0.99</c:v>
                </c:pt>
                <c:pt idx="76">
                  <c:v>1.008</c:v>
                </c:pt>
                <c:pt idx="77">
                  <c:v>1.0189999999999999</c:v>
                </c:pt>
                <c:pt idx="78">
                  <c:v>1.024</c:v>
                </c:pt>
                <c:pt idx="79">
                  <c:v>1.0409999999999999</c:v>
                </c:pt>
                <c:pt idx="80">
                  <c:v>1.0569999999999999</c:v>
                </c:pt>
                <c:pt idx="81">
                  <c:v>1.0620000000000001</c:v>
                </c:pt>
                <c:pt idx="82">
                  <c:v>1.0760000000000001</c:v>
                </c:pt>
                <c:pt idx="83">
                  <c:v>1.091</c:v>
                </c:pt>
                <c:pt idx="84">
                  <c:v>1.1000000000000001</c:v>
                </c:pt>
                <c:pt idx="85">
                  <c:v>1.1060000000000001</c:v>
                </c:pt>
                <c:pt idx="86">
                  <c:v>1.125</c:v>
                </c:pt>
                <c:pt idx="87">
                  <c:v>1.1379999999999999</c:v>
                </c:pt>
                <c:pt idx="88">
                  <c:v>1.1419999999999999</c:v>
                </c:pt>
                <c:pt idx="89">
                  <c:v>1.153</c:v>
                </c:pt>
                <c:pt idx="90">
                  <c:v>1.173</c:v>
                </c:pt>
                <c:pt idx="91">
                  <c:v>1.18</c:v>
                </c:pt>
                <c:pt idx="92">
                  <c:v>1.1879999999999999</c:v>
                </c:pt>
                <c:pt idx="93">
                  <c:v>1.214</c:v>
                </c:pt>
                <c:pt idx="94">
                  <c:v>1.2350000000000001</c:v>
                </c:pt>
                <c:pt idx="95">
                  <c:v>1.2410000000000001</c:v>
                </c:pt>
                <c:pt idx="96">
                  <c:v>1.252</c:v>
                </c:pt>
                <c:pt idx="97">
                  <c:v>1.272</c:v>
                </c:pt>
                <c:pt idx="98">
                  <c:v>1.2789999999999999</c:v>
                </c:pt>
                <c:pt idx="99">
                  <c:v>1.286</c:v>
                </c:pt>
                <c:pt idx="100">
                  <c:v>1.3</c:v>
                </c:pt>
                <c:pt idx="101">
                  <c:v>1.3160000000000001</c:v>
                </c:pt>
                <c:pt idx="102">
                  <c:v>1.321</c:v>
                </c:pt>
                <c:pt idx="103">
                  <c:v>1.3280000000000001</c:v>
                </c:pt>
                <c:pt idx="104">
                  <c:v>1.3480000000000001</c:v>
                </c:pt>
                <c:pt idx="105">
                  <c:v>1.359</c:v>
                </c:pt>
                <c:pt idx="106">
                  <c:v>1.3620000000000001</c:v>
                </c:pt>
                <c:pt idx="107">
                  <c:v>1.3740000000000001</c:v>
                </c:pt>
                <c:pt idx="108">
                  <c:v>1.3919999999999999</c:v>
                </c:pt>
                <c:pt idx="109">
                  <c:v>1.4</c:v>
                </c:pt>
                <c:pt idx="110">
                  <c:v>1.4079999999999999</c:v>
                </c:pt>
                <c:pt idx="111">
                  <c:v>1.4239999999999999</c:v>
                </c:pt>
                <c:pt idx="112">
                  <c:v>1.4379999999999999</c:v>
                </c:pt>
                <c:pt idx="113">
                  <c:v>1.444</c:v>
                </c:pt>
                <c:pt idx="114">
                  <c:v>1.4590000000000001</c:v>
                </c:pt>
                <c:pt idx="115">
                  <c:v>1.4770000000000001</c:v>
                </c:pt>
                <c:pt idx="116">
                  <c:v>1.48</c:v>
                </c:pt>
                <c:pt idx="117">
                  <c:v>1.488</c:v>
                </c:pt>
                <c:pt idx="118">
                  <c:v>1.5029999999999999</c:v>
                </c:pt>
                <c:pt idx="119">
                  <c:v>1.5169999999999999</c:v>
                </c:pt>
                <c:pt idx="120">
                  <c:v>1.522</c:v>
                </c:pt>
                <c:pt idx="121">
                  <c:v>1.5329999999999999</c:v>
                </c:pt>
                <c:pt idx="122">
                  <c:v>1.552</c:v>
                </c:pt>
                <c:pt idx="123">
                  <c:v>1.56</c:v>
                </c:pt>
                <c:pt idx="124">
                  <c:v>1.5649999999999999</c:v>
                </c:pt>
                <c:pt idx="125">
                  <c:v>1.58</c:v>
                </c:pt>
                <c:pt idx="126">
                  <c:v>1.5980000000000001</c:v>
                </c:pt>
                <c:pt idx="127">
                  <c:v>1.6040000000000001</c:v>
                </c:pt>
                <c:pt idx="128">
                  <c:v>1.667</c:v>
                </c:pt>
                <c:pt idx="129">
                  <c:v>1.6850000000000001</c:v>
                </c:pt>
                <c:pt idx="130">
                  <c:v>1.696</c:v>
                </c:pt>
                <c:pt idx="131">
                  <c:v>1.702</c:v>
                </c:pt>
                <c:pt idx="132">
                  <c:v>1.7150000000000001</c:v>
                </c:pt>
                <c:pt idx="133">
                  <c:v>1.7330000000000001</c:v>
                </c:pt>
                <c:pt idx="134">
                  <c:v>1.74</c:v>
                </c:pt>
                <c:pt idx="135">
                  <c:v>1.748</c:v>
                </c:pt>
                <c:pt idx="136">
                  <c:v>1.77</c:v>
                </c:pt>
                <c:pt idx="137">
                  <c:v>1.7789999999999999</c:v>
                </c:pt>
                <c:pt idx="138">
                  <c:v>1.7829999999999999</c:v>
                </c:pt>
                <c:pt idx="139">
                  <c:v>1.8</c:v>
                </c:pt>
                <c:pt idx="140">
                  <c:v>1.8160000000000001</c:v>
                </c:pt>
                <c:pt idx="141">
                  <c:v>1.821</c:v>
                </c:pt>
                <c:pt idx="142">
                  <c:v>1.829</c:v>
                </c:pt>
                <c:pt idx="143">
                  <c:v>1.8480000000000001</c:v>
                </c:pt>
                <c:pt idx="144">
                  <c:v>1.8580000000000001</c:v>
                </c:pt>
                <c:pt idx="145">
                  <c:v>1.8620000000000001</c:v>
                </c:pt>
                <c:pt idx="146">
                  <c:v>1.88</c:v>
                </c:pt>
                <c:pt idx="147">
                  <c:v>1.895</c:v>
                </c:pt>
                <c:pt idx="148">
                  <c:v>1.9</c:v>
                </c:pt>
                <c:pt idx="149">
                  <c:v>1.909</c:v>
                </c:pt>
                <c:pt idx="150">
                  <c:v>1.927</c:v>
                </c:pt>
                <c:pt idx="151">
                  <c:v>1.9490000000000001</c:v>
                </c:pt>
                <c:pt idx="152">
                  <c:v>1.9590000000000001</c:v>
                </c:pt>
                <c:pt idx="153">
                  <c:v>1.9590000000000001</c:v>
                </c:pt>
                <c:pt idx="154">
                  <c:v>1.9610000000000001</c:v>
                </c:pt>
                <c:pt idx="155">
                  <c:v>1.9610000000000001</c:v>
                </c:pt>
                <c:pt idx="156">
                  <c:v>1.9630000000000001</c:v>
                </c:pt>
                <c:pt idx="157">
                  <c:v>1.984</c:v>
                </c:pt>
                <c:pt idx="158">
                  <c:v>2.0219999999999998</c:v>
                </c:pt>
                <c:pt idx="159">
                  <c:v>2.0379999999999998</c:v>
                </c:pt>
                <c:pt idx="160">
                  <c:v>2.04</c:v>
                </c:pt>
                <c:pt idx="161">
                  <c:v>2.04</c:v>
                </c:pt>
                <c:pt idx="162">
                  <c:v>2.0409999999999999</c:v>
                </c:pt>
                <c:pt idx="163">
                  <c:v>2.0529999999999999</c:v>
                </c:pt>
                <c:pt idx="164">
                  <c:v>2.0859999999999999</c:v>
                </c:pt>
                <c:pt idx="165">
                  <c:v>2.1110000000000002</c:v>
                </c:pt>
                <c:pt idx="166">
                  <c:v>2.12</c:v>
                </c:pt>
                <c:pt idx="167">
                  <c:v>2.12</c:v>
                </c:pt>
                <c:pt idx="168">
                  <c:v>2.12</c:v>
                </c:pt>
                <c:pt idx="169">
                  <c:v>2.1230000000000002</c:v>
                </c:pt>
                <c:pt idx="170">
                  <c:v>2.1480000000000001</c:v>
                </c:pt>
                <c:pt idx="171">
                  <c:v>2.2130000000000001</c:v>
                </c:pt>
                <c:pt idx="172">
                  <c:v>2.2370000000000001</c:v>
                </c:pt>
                <c:pt idx="173">
                  <c:v>2.2400000000000002</c:v>
                </c:pt>
                <c:pt idx="174">
                  <c:v>2.2400000000000002</c:v>
                </c:pt>
                <c:pt idx="175">
                  <c:v>2.242</c:v>
                </c:pt>
                <c:pt idx="176">
                  <c:v>2.25</c:v>
                </c:pt>
                <c:pt idx="177">
                  <c:v>2.2799999999999998</c:v>
                </c:pt>
                <c:pt idx="178">
                  <c:v>2.3069999999999999</c:v>
                </c:pt>
                <c:pt idx="179">
                  <c:v>2.319</c:v>
                </c:pt>
                <c:pt idx="180">
                  <c:v>2.3199999999999998</c:v>
                </c:pt>
                <c:pt idx="181">
                  <c:v>2.3199999999999998</c:v>
                </c:pt>
                <c:pt idx="182">
                  <c:v>2.2320000000000002</c:v>
                </c:pt>
                <c:pt idx="183">
                  <c:v>2.2330000000000001</c:v>
                </c:pt>
                <c:pt idx="184">
                  <c:v>2.3769999999999998</c:v>
                </c:pt>
                <c:pt idx="185">
                  <c:v>2.395</c:v>
                </c:pt>
                <c:pt idx="186">
                  <c:v>2.4</c:v>
                </c:pt>
                <c:pt idx="187">
                  <c:v>2.4</c:v>
                </c:pt>
                <c:pt idx="188">
                  <c:v>2.4</c:v>
                </c:pt>
                <c:pt idx="189">
                  <c:v>2.4020000000000001</c:v>
                </c:pt>
                <c:pt idx="190">
                  <c:v>2.4159999999999999</c:v>
                </c:pt>
                <c:pt idx="191">
                  <c:v>2.456</c:v>
                </c:pt>
                <c:pt idx="192">
                  <c:v>2.4700000000000002</c:v>
                </c:pt>
                <c:pt idx="193">
                  <c:v>2.48</c:v>
                </c:pt>
                <c:pt idx="194">
                  <c:v>2.48</c:v>
                </c:pt>
                <c:pt idx="195">
                  <c:v>2.4820000000000002</c:v>
                </c:pt>
                <c:pt idx="196">
                  <c:v>2.4969999999999999</c:v>
                </c:pt>
                <c:pt idx="197">
                  <c:v>2.5350000000000001</c:v>
                </c:pt>
                <c:pt idx="198">
                  <c:v>2.5550000000000002</c:v>
                </c:pt>
                <c:pt idx="199">
                  <c:v>2.56</c:v>
                </c:pt>
                <c:pt idx="200">
                  <c:v>2.56</c:v>
                </c:pt>
                <c:pt idx="201">
                  <c:v>2.56</c:v>
                </c:pt>
                <c:pt idx="202">
                  <c:v>2.5630000000000002</c:v>
                </c:pt>
                <c:pt idx="203">
                  <c:v>2.59</c:v>
                </c:pt>
                <c:pt idx="204">
                  <c:v>2.621</c:v>
                </c:pt>
                <c:pt idx="205">
                  <c:v>2.6389999999999998</c:v>
                </c:pt>
                <c:pt idx="206">
                  <c:v>2.64</c:v>
                </c:pt>
                <c:pt idx="207">
                  <c:v>2.64</c:v>
                </c:pt>
                <c:pt idx="208">
                  <c:v>2.64</c:v>
                </c:pt>
                <c:pt idx="209">
                  <c:v>2.641</c:v>
                </c:pt>
                <c:pt idx="210">
                  <c:v>2.6440000000000001</c:v>
                </c:pt>
                <c:pt idx="211">
                  <c:v>2.657</c:v>
                </c:pt>
                <c:pt idx="212">
                  <c:v>2.6819999999999999</c:v>
                </c:pt>
                <c:pt idx="213">
                  <c:v>2.71</c:v>
                </c:pt>
                <c:pt idx="214">
                  <c:v>2.7189999999999999</c:v>
                </c:pt>
                <c:pt idx="215">
                  <c:v>2.72</c:v>
                </c:pt>
                <c:pt idx="216">
                  <c:v>2.72</c:v>
                </c:pt>
                <c:pt idx="217">
                  <c:v>2.72</c:v>
                </c:pt>
                <c:pt idx="218">
                  <c:v>2.722</c:v>
                </c:pt>
                <c:pt idx="219">
                  <c:v>2.7250000000000001</c:v>
                </c:pt>
                <c:pt idx="220">
                  <c:v>2.7429999999999999</c:v>
                </c:pt>
                <c:pt idx="221">
                  <c:v>2.77</c:v>
                </c:pt>
                <c:pt idx="222">
                  <c:v>2.794</c:v>
                </c:pt>
                <c:pt idx="223">
                  <c:v>2.7989999999999999</c:v>
                </c:pt>
                <c:pt idx="224">
                  <c:v>2.8</c:v>
                </c:pt>
                <c:pt idx="225">
                  <c:v>2.8</c:v>
                </c:pt>
                <c:pt idx="226">
                  <c:v>2.802</c:v>
                </c:pt>
                <c:pt idx="227">
                  <c:v>2.8130000000000002</c:v>
                </c:pt>
                <c:pt idx="228">
                  <c:v>2.87</c:v>
                </c:pt>
                <c:pt idx="229">
                  <c:v>2.915</c:v>
                </c:pt>
                <c:pt idx="230">
                  <c:v>2.9540000000000002</c:v>
                </c:pt>
                <c:pt idx="231">
                  <c:v>2.9590000000000001</c:v>
                </c:pt>
                <c:pt idx="232">
                  <c:v>2.9660000000000002</c:v>
                </c:pt>
                <c:pt idx="233">
                  <c:v>2.96</c:v>
                </c:pt>
                <c:pt idx="234">
                  <c:v>2.9630000000000001</c:v>
                </c:pt>
                <c:pt idx="235">
                  <c:v>2.9750000000000001</c:v>
                </c:pt>
                <c:pt idx="236">
                  <c:v>3</c:v>
                </c:pt>
                <c:pt idx="237">
                  <c:v>3.04</c:v>
                </c:pt>
                <c:pt idx="238">
                  <c:v>3.069</c:v>
                </c:pt>
                <c:pt idx="239">
                  <c:v>3.08</c:v>
                </c:pt>
                <c:pt idx="240">
                  <c:v>3.08</c:v>
                </c:pt>
                <c:pt idx="241">
                  <c:v>3.08</c:v>
                </c:pt>
                <c:pt idx="242">
                  <c:v>3.081</c:v>
                </c:pt>
                <c:pt idx="243">
                  <c:v>3.0950000000000002</c:v>
                </c:pt>
                <c:pt idx="244">
                  <c:v>3.1150000000000002</c:v>
                </c:pt>
                <c:pt idx="245">
                  <c:v>3.145</c:v>
                </c:pt>
                <c:pt idx="246">
                  <c:v>3.1549999999999998</c:v>
                </c:pt>
                <c:pt idx="247">
                  <c:v>3.16</c:v>
                </c:pt>
                <c:pt idx="248">
                  <c:v>3.16</c:v>
                </c:pt>
                <c:pt idx="249">
                  <c:v>3.16</c:v>
                </c:pt>
                <c:pt idx="250">
                  <c:v>3.1619999999999999</c:v>
                </c:pt>
                <c:pt idx="251">
                  <c:v>3.177</c:v>
                </c:pt>
                <c:pt idx="252">
                  <c:v>3.2160000000000002</c:v>
                </c:pt>
                <c:pt idx="253">
                  <c:v>3.2389999999999999</c:v>
                </c:pt>
                <c:pt idx="254">
                  <c:v>3.24</c:v>
                </c:pt>
                <c:pt idx="255">
                  <c:v>3.24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C-4B45-97D8-9FB20E2BC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022024"/>
        <c:axId val="544022352"/>
      </c:lineChart>
      <c:catAx>
        <c:axId val="544022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022352"/>
        <c:crosses val="autoZero"/>
        <c:auto val="1"/>
        <c:lblAlgn val="ctr"/>
        <c:lblOffset val="100"/>
        <c:noMultiLvlLbl val="0"/>
      </c:catAx>
      <c:valAx>
        <c:axId val="54402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02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3.4474211658833562E-2"/>
          <c:y val="0.10292837373779051"/>
          <c:w val="0.94396817852907045"/>
          <c:h val="0.8733736123548133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'G29 Break Force RAW-DATA (2)'!$J$153:$J$231</c:f>
              <c:numCache>
                <c:formatCode>General</c:formatCode>
                <c:ptCount val="79"/>
                <c:pt idx="0">
                  <c:v>148</c:v>
                </c:pt>
                <c:pt idx="1">
                  <c:v>149</c:v>
                </c:pt>
                <c:pt idx="2">
                  <c:v>150</c:v>
                </c:pt>
                <c:pt idx="3">
                  <c:v>151</c:v>
                </c:pt>
                <c:pt idx="4">
                  <c:v>152</c:v>
                </c:pt>
                <c:pt idx="5">
                  <c:v>153</c:v>
                </c:pt>
                <c:pt idx="6">
                  <c:v>154</c:v>
                </c:pt>
                <c:pt idx="7">
                  <c:v>155</c:v>
                </c:pt>
                <c:pt idx="8">
                  <c:v>156</c:v>
                </c:pt>
                <c:pt idx="9">
                  <c:v>157</c:v>
                </c:pt>
                <c:pt idx="10">
                  <c:v>158</c:v>
                </c:pt>
                <c:pt idx="11">
                  <c:v>159</c:v>
                </c:pt>
                <c:pt idx="12">
                  <c:v>160</c:v>
                </c:pt>
                <c:pt idx="13">
                  <c:v>161</c:v>
                </c:pt>
                <c:pt idx="14">
                  <c:v>162</c:v>
                </c:pt>
                <c:pt idx="15">
                  <c:v>163</c:v>
                </c:pt>
                <c:pt idx="16">
                  <c:v>164</c:v>
                </c:pt>
                <c:pt idx="17">
                  <c:v>165</c:v>
                </c:pt>
                <c:pt idx="18">
                  <c:v>166</c:v>
                </c:pt>
                <c:pt idx="19">
                  <c:v>167</c:v>
                </c:pt>
                <c:pt idx="20">
                  <c:v>168</c:v>
                </c:pt>
                <c:pt idx="21">
                  <c:v>169</c:v>
                </c:pt>
                <c:pt idx="22">
                  <c:v>170</c:v>
                </c:pt>
                <c:pt idx="23">
                  <c:v>171</c:v>
                </c:pt>
                <c:pt idx="24">
                  <c:v>172</c:v>
                </c:pt>
                <c:pt idx="25">
                  <c:v>173</c:v>
                </c:pt>
                <c:pt idx="26">
                  <c:v>174</c:v>
                </c:pt>
                <c:pt idx="27">
                  <c:v>175</c:v>
                </c:pt>
                <c:pt idx="28">
                  <c:v>176</c:v>
                </c:pt>
                <c:pt idx="29">
                  <c:v>177</c:v>
                </c:pt>
                <c:pt idx="30">
                  <c:v>178</c:v>
                </c:pt>
                <c:pt idx="31">
                  <c:v>179</c:v>
                </c:pt>
                <c:pt idx="32">
                  <c:v>180</c:v>
                </c:pt>
                <c:pt idx="33">
                  <c:v>181</c:v>
                </c:pt>
                <c:pt idx="34">
                  <c:v>182</c:v>
                </c:pt>
                <c:pt idx="35">
                  <c:v>183</c:v>
                </c:pt>
                <c:pt idx="36">
                  <c:v>184</c:v>
                </c:pt>
                <c:pt idx="37">
                  <c:v>185</c:v>
                </c:pt>
                <c:pt idx="38">
                  <c:v>186</c:v>
                </c:pt>
                <c:pt idx="39">
                  <c:v>187</c:v>
                </c:pt>
                <c:pt idx="40">
                  <c:v>188</c:v>
                </c:pt>
                <c:pt idx="41">
                  <c:v>189</c:v>
                </c:pt>
                <c:pt idx="42">
                  <c:v>190</c:v>
                </c:pt>
                <c:pt idx="43">
                  <c:v>191</c:v>
                </c:pt>
                <c:pt idx="44">
                  <c:v>192</c:v>
                </c:pt>
                <c:pt idx="45">
                  <c:v>193</c:v>
                </c:pt>
                <c:pt idx="46">
                  <c:v>194</c:v>
                </c:pt>
                <c:pt idx="47">
                  <c:v>195</c:v>
                </c:pt>
                <c:pt idx="48">
                  <c:v>196</c:v>
                </c:pt>
                <c:pt idx="49">
                  <c:v>197</c:v>
                </c:pt>
                <c:pt idx="50">
                  <c:v>198</c:v>
                </c:pt>
                <c:pt idx="51">
                  <c:v>199</c:v>
                </c:pt>
                <c:pt idx="52">
                  <c:v>200</c:v>
                </c:pt>
                <c:pt idx="53">
                  <c:v>201</c:v>
                </c:pt>
                <c:pt idx="54">
                  <c:v>202</c:v>
                </c:pt>
                <c:pt idx="55">
                  <c:v>203</c:v>
                </c:pt>
                <c:pt idx="56">
                  <c:v>204</c:v>
                </c:pt>
                <c:pt idx="57">
                  <c:v>205</c:v>
                </c:pt>
                <c:pt idx="58">
                  <c:v>206</c:v>
                </c:pt>
                <c:pt idx="59">
                  <c:v>207</c:v>
                </c:pt>
                <c:pt idx="60">
                  <c:v>208</c:v>
                </c:pt>
                <c:pt idx="61">
                  <c:v>209</c:v>
                </c:pt>
                <c:pt idx="62">
                  <c:v>210</c:v>
                </c:pt>
                <c:pt idx="63">
                  <c:v>211</c:v>
                </c:pt>
                <c:pt idx="64">
                  <c:v>212</c:v>
                </c:pt>
                <c:pt idx="65">
                  <c:v>213</c:v>
                </c:pt>
                <c:pt idx="66">
                  <c:v>214</c:v>
                </c:pt>
                <c:pt idx="67">
                  <c:v>215</c:v>
                </c:pt>
                <c:pt idx="68">
                  <c:v>216</c:v>
                </c:pt>
                <c:pt idx="69">
                  <c:v>217</c:v>
                </c:pt>
                <c:pt idx="70">
                  <c:v>218</c:v>
                </c:pt>
                <c:pt idx="71">
                  <c:v>219</c:v>
                </c:pt>
                <c:pt idx="72">
                  <c:v>220</c:v>
                </c:pt>
                <c:pt idx="73">
                  <c:v>221</c:v>
                </c:pt>
                <c:pt idx="74">
                  <c:v>222</c:v>
                </c:pt>
                <c:pt idx="75">
                  <c:v>223</c:v>
                </c:pt>
                <c:pt idx="76">
                  <c:v>224</c:v>
                </c:pt>
                <c:pt idx="77">
                  <c:v>225</c:v>
                </c:pt>
                <c:pt idx="78">
                  <c:v>226</c:v>
                </c:pt>
              </c:numCache>
            </c:numRef>
          </c:xVal>
          <c:yVal>
            <c:numRef>
              <c:f>'G29 Break Force RAW-DATA (2)'!$K$153:$K$231</c:f>
              <c:numCache>
                <c:formatCode>General</c:formatCode>
                <c:ptCount val="79"/>
                <c:pt idx="0">
                  <c:v>100</c:v>
                </c:pt>
                <c:pt idx="1">
                  <c:v>96.3</c:v>
                </c:pt>
                <c:pt idx="2">
                  <c:v>93</c:v>
                </c:pt>
                <c:pt idx="3">
                  <c:v>89.5</c:v>
                </c:pt>
                <c:pt idx="4">
                  <c:v>86</c:v>
                </c:pt>
                <c:pt idx="5">
                  <c:v>83.468200000001161</c:v>
                </c:pt>
                <c:pt idx="6">
                  <c:v>80.425999999999476</c:v>
                </c:pt>
                <c:pt idx="7">
                  <c:v>77.579999999999927</c:v>
                </c:pt>
                <c:pt idx="8">
                  <c:v>74.92239999999947</c:v>
                </c:pt>
                <c:pt idx="9">
                  <c:v>72.445400000002337</c:v>
                </c:pt>
                <c:pt idx="10">
                  <c:v>70.141200000000026</c:v>
                </c:pt>
                <c:pt idx="11">
                  <c:v>68.001999999998588</c:v>
                </c:pt>
                <c:pt idx="12">
                  <c:v>66.020000000002256</c:v>
                </c:pt>
                <c:pt idx="13">
                  <c:v>64.187400000000707</c:v>
                </c:pt>
                <c:pt idx="14">
                  <c:v>62.496399999999994</c:v>
                </c:pt>
                <c:pt idx="15">
                  <c:v>60.939199999998891</c:v>
                </c:pt>
                <c:pt idx="16">
                  <c:v>59.507999999997992</c:v>
                </c:pt>
                <c:pt idx="17">
                  <c:v>58</c:v>
                </c:pt>
                <c:pt idx="18">
                  <c:v>56.4</c:v>
                </c:pt>
                <c:pt idx="19">
                  <c:v>55</c:v>
                </c:pt>
                <c:pt idx="20">
                  <c:v>53.5</c:v>
                </c:pt>
                <c:pt idx="21">
                  <c:v>52.5</c:v>
                </c:pt>
                <c:pt idx="22">
                  <c:v>51.2</c:v>
                </c:pt>
                <c:pt idx="23">
                  <c:v>49.8</c:v>
                </c:pt>
                <c:pt idx="24">
                  <c:v>48.5</c:v>
                </c:pt>
                <c:pt idx="25">
                  <c:v>47.5</c:v>
                </c:pt>
                <c:pt idx="26">
                  <c:v>46.238599999999991</c:v>
                </c:pt>
                <c:pt idx="27">
                  <c:v>45.45750000000001</c:v>
                </c:pt>
                <c:pt idx="28">
                  <c:v>44.676400000000001</c:v>
                </c:pt>
                <c:pt idx="29">
                  <c:v>43.895299999999992</c:v>
                </c:pt>
                <c:pt idx="30">
                  <c:v>43.114200000000011</c:v>
                </c:pt>
                <c:pt idx="31">
                  <c:v>42.333100000000002</c:v>
                </c:pt>
                <c:pt idx="32">
                  <c:v>41.551999999999992</c:v>
                </c:pt>
                <c:pt idx="33">
                  <c:v>40.770900000000012</c:v>
                </c:pt>
                <c:pt idx="34">
                  <c:v>39.989800000000002</c:v>
                </c:pt>
                <c:pt idx="35">
                  <c:v>39.208699999999993</c:v>
                </c:pt>
                <c:pt idx="36">
                  <c:v>38.427600000000012</c:v>
                </c:pt>
                <c:pt idx="37">
                  <c:v>37.646500000000003</c:v>
                </c:pt>
                <c:pt idx="38">
                  <c:v>36.865399999999994</c:v>
                </c:pt>
                <c:pt idx="39">
                  <c:v>36.084300000000013</c:v>
                </c:pt>
                <c:pt idx="40">
                  <c:v>35.303200000000004</c:v>
                </c:pt>
                <c:pt idx="41">
                  <c:v>34.522099999999995</c:v>
                </c:pt>
                <c:pt idx="42">
                  <c:v>33.741000000000014</c:v>
                </c:pt>
                <c:pt idx="43">
                  <c:v>32.959900000000005</c:v>
                </c:pt>
                <c:pt idx="44">
                  <c:v>32.178799999999995</c:v>
                </c:pt>
                <c:pt idx="45">
                  <c:v>31.397700000000015</c:v>
                </c:pt>
                <c:pt idx="46">
                  <c:v>30.616600000000005</c:v>
                </c:pt>
                <c:pt idx="47">
                  <c:v>29.835499999999996</c:v>
                </c:pt>
                <c:pt idx="48">
                  <c:v>29.054400000000015</c:v>
                </c:pt>
                <c:pt idx="49">
                  <c:v>28.273300000000006</c:v>
                </c:pt>
                <c:pt idx="50">
                  <c:v>27.492199999999997</c:v>
                </c:pt>
                <c:pt idx="51">
                  <c:v>26.711100000000016</c:v>
                </c:pt>
                <c:pt idx="52">
                  <c:v>25.930000000000007</c:v>
                </c:pt>
                <c:pt idx="53">
                  <c:v>25.148899999999998</c:v>
                </c:pt>
                <c:pt idx="54">
                  <c:v>24.367799999999988</c:v>
                </c:pt>
                <c:pt idx="55">
                  <c:v>23.586700000000008</c:v>
                </c:pt>
                <c:pt idx="56">
                  <c:v>22.805599999999998</c:v>
                </c:pt>
                <c:pt idx="57">
                  <c:v>22.024499999999989</c:v>
                </c:pt>
                <c:pt idx="58">
                  <c:v>21.243400000000008</c:v>
                </c:pt>
                <c:pt idx="59">
                  <c:v>20.462299999999999</c:v>
                </c:pt>
                <c:pt idx="60">
                  <c:v>19.68119999999999</c:v>
                </c:pt>
                <c:pt idx="61">
                  <c:v>18.900100000000009</c:v>
                </c:pt>
                <c:pt idx="62">
                  <c:v>18.119</c:v>
                </c:pt>
                <c:pt idx="63">
                  <c:v>17.337899999999991</c:v>
                </c:pt>
                <c:pt idx="64">
                  <c:v>16.55680000000001</c:v>
                </c:pt>
                <c:pt idx="65">
                  <c:v>15.775700000000001</c:v>
                </c:pt>
                <c:pt idx="66">
                  <c:v>14.994599999999991</c:v>
                </c:pt>
                <c:pt idx="67">
                  <c:v>14.21350000000001</c:v>
                </c:pt>
                <c:pt idx="68">
                  <c:v>13.432400000000001</c:v>
                </c:pt>
                <c:pt idx="69">
                  <c:v>12.651299999999992</c:v>
                </c:pt>
                <c:pt idx="70">
                  <c:v>11.6</c:v>
                </c:pt>
                <c:pt idx="71">
                  <c:v>10.5</c:v>
                </c:pt>
                <c:pt idx="72">
                  <c:v>9.3799999999999955</c:v>
                </c:pt>
                <c:pt idx="73">
                  <c:v>7.8174999999999955</c:v>
                </c:pt>
                <c:pt idx="74">
                  <c:v>6.2549999999999955</c:v>
                </c:pt>
                <c:pt idx="75">
                  <c:v>4.6924999999999955</c:v>
                </c:pt>
                <c:pt idx="76">
                  <c:v>3.1299999999999955</c:v>
                </c:pt>
                <c:pt idx="77">
                  <c:v>1.5674999999999955</c:v>
                </c:pt>
                <c:pt idx="78">
                  <c:v>4.9999999999954525E-3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A6-4835-BDB0-E40DC3979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510296"/>
        <c:axId val="648510952"/>
      </c:scatterChart>
      <c:valAx>
        <c:axId val="648510296"/>
        <c:scaling>
          <c:orientation val="minMax"/>
          <c:max val="230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510952"/>
        <c:crosses val="autoZero"/>
        <c:crossBetween val="midCat"/>
      </c:valAx>
      <c:valAx>
        <c:axId val="64851095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510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5491835383276961"/>
                  <c:y val="-2.6693736831220937E-4"/>
                </c:manualLayout>
              </c:layout>
              <c:numFmt formatCode="#,##0.00000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'G29 Break Force RAW-DATA (2)'!$K$153:$K$231</c:f>
              <c:numCache>
                <c:formatCode>General</c:formatCode>
                <c:ptCount val="79"/>
                <c:pt idx="0">
                  <c:v>100</c:v>
                </c:pt>
                <c:pt idx="1">
                  <c:v>96.3</c:v>
                </c:pt>
                <c:pt idx="2">
                  <c:v>93</c:v>
                </c:pt>
                <c:pt idx="3">
                  <c:v>89.5</c:v>
                </c:pt>
                <c:pt idx="4">
                  <c:v>86</c:v>
                </c:pt>
                <c:pt idx="5">
                  <c:v>83.468200000001161</c:v>
                </c:pt>
                <c:pt idx="6">
                  <c:v>80.425999999999476</c:v>
                </c:pt>
                <c:pt idx="7">
                  <c:v>77.579999999999927</c:v>
                </c:pt>
                <c:pt idx="8">
                  <c:v>74.92239999999947</c:v>
                </c:pt>
                <c:pt idx="9">
                  <c:v>72.445400000002337</c:v>
                </c:pt>
                <c:pt idx="10">
                  <c:v>70.141200000000026</c:v>
                </c:pt>
                <c:pt idx="11">
                  <c:v>68.001999999998588</c:v>
                </c:pt>
                <c:pt idx="12">
                  <c:v>66.020000000002256</c:v>
                </c:pt>
                <c:pt idx="13">
                  <c:v>64.187400000000707</c:v>
                </c:pt>
                <c:pt idx="14">
                  <c:v>62.496399999999994</c:v>
                </c:pt>
                <c:pt idx="15">
                  <c:v>60.939199999998891</c:v>
                </c:pt>
                <c:pt idx="16">
                  <c:v>59.507999999997992</c:v>
                </c:pt>
                <c:pt idx="17">
                  <c:v>58</c:v>
                </c:pt>
                <c:pt idx="18">
                  <c:v>56.4</c:v>
                </c:pt>
                <c:pt idx="19">
                  <c:v>55</c:v>
                </c:pt>
                <c:pt idx="20">
                  <c:v>53.5</c:v>
                </c:pt>
                <c:pt idx="21">
                  <c:v>52.5</c:v>
                </c:pt>
                <c:pt idx="22">
                  <c:v>51.2</c:v>
                </c:pt>
                <c:pt idx="23">
                  <c:v>49.8</c:v>
                </c:pt>
                <c:pt idx="24">
                  <c:v>48.5</c:v>
                </c:pt>
                <c:pt idx="25">
                  <c:v>47.5</c:v>
                </c:pt>
                <c:pt idx="26">
                  <c:v>46.238599999999991</c:v>
                </c:pt>
                <c:pt idx="27">
                  <c:v>45.45750000000001</c:v>
                </c:pt>
                <c:pt idx="28">
                  <c:v>44.676400000000001</c:v>
                </c:pt>
                <c:pt idx="29">
                  <c:v>43.895299999999992</c:v>
                </c:pt>
                <c:pt idx="30">
                  <c:v>43.114200000000011</c:v>
                </c:pt>
                <c:pt idx="31">
                  <c:v>42.333100000000002</c:v>
                </c:pt>
                <c:pt idx="32">
                  <c:v>41.551999999999992</c:v>
                </c:pt>
                <c:pt idx="33">
                  <c:v>40.770900000000012</c:v>
                </c:pt>
                <c:pt idx="34">
                  <c:v>39.989800000000002</c:v>
                </c:pt>
                <c:pt idx="35">
                  <c:v>39.208699999999993</c:v>
                </c:pt>
                <c:pt idx="36">
                  <c:v>38.427600000000012</c:v>
                </c:pt>
                <c:pt idx="37">
                  <c:v>37.646500000000003</c:v>
                </c:pt>
                <c:pt idx="38">
                  <c:v>36.865399999999994</c:v>
                </c:pt>
                <c:pt idx="39">
                  <c:v>36.084300000000013</c:v>
                </c:pt>
                <c:pt idx="40">
                  <c:v>35.303200000000004</c:v>
                </c:pt>
                <c:pt idx="41">
                  <c:v>34.522099999999995</c:v>
                </c:pt>
                <c:pt idx="42">
                  <c:v>33.741000000000014</c:v>
                </c:pt>
                <c:pt idx="43">
                  <c:v>32.959900000000005</c:v>
                </c:pt>
                <c:pt idx="44">
                  <c:v>32.178799999999995</c:v>
                </c:pt>
                <c:pt idx="45">
                  <c:v>31.397700000000015</c:v>
                </c:pt>
                <c:pt idx="46">
                  <c:v>30.616600000000005</c:v>
                </c:pt>
                <c:pt idx="47">
                  <c:v>29.835499999999996</c:v>
                </c:pt>
                <c:pt idx="48">
                  <c:v>29.054400000000015</c:v>
                </c:pt>
                <c:pt idx="49">
                  <c:v>28.273300000000006</c:v>
                </c:pt>
                <c:pt idx="50">
                  <c:v>27.492199999999997</c:v>
                </c:pt>
                <c:pt idx="51">
                  <c:v>26.711100000000016</c:v>
                </c:pt>
                <c:pt idx="52">
                  <c:v>25.930000000000007</c:v>
                </c:pt>
                <c:pt idx="53">
                  <c:v>25.148899999999998</c:v>
                </c:pt>
                <c:pt idx="54">
                  <c:v>24.367799999999988</c:v>
                </c:pt>
                <c:pt idx="55">
                  <c:v>23.586700000000008</c:v>
                </c:pt>
                <c:pt idx="56">
                  <c:v>22.805599999999998</c:v>
                </c:pt>
                <c:pt idx="57">
                  <c:v>22.024499999999989</c:v>
                </c:pt>
                <c:pt idx="58">
                  <c:v>21.243400000000008</c:v>
                </c:pt>
                <c:pt idx="59">
                  <c:v>20.462299999999999</c:v>
                </c:pt>
                <c:pt idx="60">
                  <c:v>19.68119999999999</c:v>
                </c:pt>
                <c:pt idx="61">
                  <c:v>18.900100000000009</c:v>
                </c:pt>
                <c:pt idx="62">
                  <c:v>18.119</c:v>
                </c:pt>
                <c:pt idx="63">
                  <c:v>17.337899999999991</c:v>
                </c:pt>
                <c:pt idx="64">
                  <c:v>16.55680000000001</c:v>
                </c:pt>
                <c:pt idx="65">
                  <c:v>15.775700000000001</c:v>
                </c:pt>
                <c:pt idx="66">
                  <c:v>14.994599999999991</c:v>
                </c:pt>
                <c:pt idx="67">
                  <c:v>14.21350000000001</c:v>
                </c:pt>
                <c:pt idx="68">
                  <c:v>13.432400000000001</c:v>
                </c:pt>
                <c:pt idx="69">
                  <c:v>12.651299999999992</c:v>
                </c:pt>
                <c:pt idx="70">
                  <c:v>11.6</c:v>
                </c:pt>
                <c:pt idx="71">
                  <c:v>10.5</c:v>
                </c:pt>
                <c:pt idx="72">
                  <c:v>9.3799999999999955</c:v>
                </c:pt>
                <c:pt idx="73">
                  <c:v>7.8174999999999955</c:v>
                </c:pt>
                <c:pt idx="74">
                  <c:v>6.2549999999999955</c:v>
                </c:pt>
                <c:pt idx="75">
                  <c:v>4.6924999999999955</c:v>
                </c:pt>
                <c:pt idx="76">
                  <c:v>3.1299999999999955</c:v>
                </c:pt>
                <c:pt idx="77">
                  <c:v>1.5674999999999955</c:v>
                </c:pt>
                <c:pt idx="78">
                  <c:v>4.9999999999954525E-3</c:v>
                </c:pt>
              </c:numCache>
            </c:numRef>
          </c:xVal>
          <c:yVal>
            <c:numRef>
              <c:f>'G29 Break Force RAW-DATA (2)'!$L$153:$L$231</c:f>
              <c:numCache>
                <c:formatCode>General</c:formatCode>
                <c:ptCount val="79"/>
                <c:pt idx="0">
                  <c:v>1</c:v>
                </c:pt>
                <c:pt idx="1">
                  <c:v>0.96299999999999997</c:v>
                </c:pt>
                <c:pt idx="2">
                  <c:v>0.93</c:v>
                </c:pt>
                <c:pt idx="3">
                  <c:v>0.89500000000000002</c:v>
                </c:pt>
                <c:pt idx="4">
                  <c:v>0.86</c:v>
                </c:pt>
                <c:pt idx="5">
                  <c:v>0.83468200000001158</c:v>
                </c:pt>
                <c:pt idx="6">
                  <c:v>0.80425999999999476</c:v>
                </c:pt>
                <c:pt idx="7">
                  <c:v>0.77579999999999927</c:v>
                </c:pt>
                <c:pt idx="8">
                  <c:v>0.74922399999999467</c:v>
                </c:pt>
                <c:pt idx="9">
                  <c:v>0.72445400000002336</c:v>
                </c:pt>
                <c:pt idx="10">
                  <c:v>0.70141200000000026</c:v>
                </c:pt>
                <c:pt idx="11">
                  <c:v>0.68001999999998586</c:v>
                </c:pt>
                <c:pt idx="12">
                  <c:v>0.66020000000002255</c:v>
                </c:pt>
                <c:pt idx="13">
                  <c:v>0.64187400000000705</c:v>
                </c:pt>
                <c:pt idx="14">
                  <c:v>0.62496399999999996</c:v>
                </c:pt>
                <c:pt idx="15">
                  <c:v>0.60939199999998894</c:v>
                </c:pt>
                <c:pt idx="16">
                  <c:v>0.59507999999997996</c:v>
                </c:pt>
                <c:pt idx="17">
                  <c:v>0.57999999999999996</c:v>
                </c:pt>
                <c:pt idx="18">
                  <c:v>0.56399999999999995</c:v>
                </c:pt>
                <c:pt idx="19">
                  <c:v>0.55000000000000004</c:v>
                </c:pt>
                <c:pt idx="20">
                  <c:v>0.53500000000000003</c:v>
                </c:pt>
                <c:pt idx="21">
                  <c:v>0.52500000000000002</c:v>
                </c:pt>
                <c:pt idx="22">
                  <c:v>0.51200000000000001</c:v>
                </c:pt>
                <c:pt idx="23">
                  <c:v>0.498</c:v>
                </c:pt>
                <c:pt idx="24">
                  <c:v>0.48499999999999999</c:v>
                </c:pt>
                <c:pt idx="25">
                  <c:v>0.47499999999999998</c:v>
                </c:pt>
                <c:pt idx="26">
                  <c:v>0.46238599999999991</c:v>
                </c:pt>
                <c:pt idx="27">
                  <c:v>0.45457500000000012</c:v>
                </c:pt>
                <c:pt idx="28">
                  <c:v>0.44676399999999999</c:v>
                </c:pt>
                <c:pt idx="29">
                  <c:v>0.43895299999999993</c:v>
                </c:pt>
                <c:pt idx="30">
                  <c:v>0.43114200000000014</c:v>
                </c:pt>
                <c:pt idx="31">
                  <c:v>0.42333100000000001</c:v>
                </c:pt>
                <c:pt idx="32">
                  <c:v>0.41551999999999994</c:v>
                </c:pt>
                <c:pt idx="33">
                  <c:v>0.4077090000000001</c:v>
                </c:pt>
                <c:pt idx="34">
                  <c:v>0.39989800000000003</c:v>
                </c:pt>
                <c:pt idx="35">
                  <c:v>0.39208699999999991</c:v>
                </c:pt>
                <c:pt idx="36">
                  <c:v>0.38427600000000012</c:v>
                </c:pt>
                <c:pt idx="37">
                  <c:v>0.37646500000000005</c:v>
                </c:pt>
                <c:pt idx="38">
                  <c:v>0.36865399999999993</c:v>
                </c:pt>
                <c:pt idx="39">
                  <c:v>0.36084300000000014</c:v>
                </c:pt>
                <c:pt idx="40">
                  <c:v>0.35303200000000001</c:v>
                </c:pt>
                <c:pt idx="41">
                  <c:v>0.34522099999999994</c:v>
                </c:pt>
                <c:pt idx="42">
                  <c:v>0.33741000000000015</c:v>
                </c:pt>
                <c:pt idx="43">
                  <c:v>0.32959900000000003</c:v>
                </c:pt>
                <c:pt idx="44">
                  <c:v>0.32178799999999996</c:v>
                </c:pt>
                <c:pt idx="45">
                  <c:v>0.31397700000000017</c:v>
                </c:pt>
                <c:pt idx="46">
                  <c:v>0.30616600000000005</c:v>
                </c:pt>
                <c:pt idx="47">
                  <c:v>0.29835499999999998</c:v>
                </c:pt>
                <c:pt idx="48">
                  <c:v>0.29054400000000014</c:v>
                </c:pt>
                <c:pt idx="49">
                  <c:v>0.28273300000000007</c:v>
                </c:pt>
                <c:pt idx="50">
                  <c:v>0.27492199999999994</c:v>
                </c:pt>
                <c:pt idx="51">
                  <c:v>0.26711100000000015</c:v>
                </c:pt>
                <c:pt idx="52">
                  <c:v>0.25930000000000009</c:v>
                </c:pt>
                <c:pt idx="53">
                  <c:v>0.25148899999999996</c:v>
                </c:pt>
                <c:pt idx="54">
                  <c:v>0.24367799999999989</c:v>
                </c:pt>
                <c:pt idx="55">
                  <c:v>0.23586700000000008</c:v>
                </c:pt>
                <c:pt idx="56">
                  <c:v>0.22805599999999998</c:v>
                </c:pt>
                <c:pt idx="57">
                  <c:v>0.22024499999999989</c:v>
                </c:pt>
                <c:pt idx="58">
                  <c:v>0.21243400000000009</c:v>
                </c:pt>
                <c:pt idx="59">
                  <c:v>0.204623</c:v>
                </c:pt>
                <c:pt idx="60">
                  <c:v>0.1968119999999999</c:v>
                </c:pt>
                <c:pt idx="61">
                  <c:v>0.18900100000000009</c:v>
                </c:pt>
                <c:pt idx="62">
                  <c:v>0.18118999999999999</c:v>
                </c:pt>
                <c:pt idx="63">
                  <c:v>0.17337899999999989</c:v>
                </c:pt>
                <c:pt idx="64">
                  <c:v>0.1655680000000001</c:v>
                </c:pt>
                <c:pt idx="65">
                  <c:v>0.15775700000000001</c:v>
                </c:pt>
                <c:pt idx="66">
                  <c:v>0.14994599999999991</c:v>
                </c:pt>
                <c:pt idx="67">
                  <c:v>0.14213500000000009</c:v>
                </c:pt>
                <c:pt idx="68">
                  <c:v>0.134324</c:v>
                </c:pt>
                <c:pt idx="69">
                  <c:v>0.12651299999999993</c:v>
                </c:pt>
                <c:pt idx="70">
                  <c:v>0.11599999999999999</c:v>
                </c:pt>
                <c:pt idx="71">
                  <c:v>0.105</c:v>
                </c:pt>
                <c:pt idx="72">
                  <c:v>9.3799999999999953E-2</c:v>
                </c:pt>
                <c:pt idx="73">
                  <c:v>7.8174999999999953E-2</c:v>
                </c:pt>
                <c:pt idx="74">
                  <c:v>6.2549999999999953E-2</c:v>
                </c:pt>
                <c:pt idx="75">
                  <c:v>4.6924999999999953E-2</c:v>
                </c:pt>
                <c:pt idx="76">
                  <c:v>3.1299999999999953E-2</c:v>
                </c:pt>
                <c:pt idx="77">
                  <c:v>1.5674999999999953E-2</c:v>
                </c:pt>
                <c:pt idx="7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F2-4B0B-8ED5-F5A514CE0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510624"/>
        <c:axId val="648506360"/>
      </c:scatterChart>
      <c:valAx>
        <c:axId val="64851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506360"/>
        <c:crosses val="autoZero"/>
        <c:crossBetween val="midCat"/>
      </c:valAx>
      <c:valAx>
        <c:axId val="64850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5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56803051571015428"/>
                  <c:y val="-0.110895054133858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'G29 Break Force RAW-DATA (2)'!$H$240:$H$292</c:f>
              <c:numCache>
                <c:formatCode>General</c:formatCode>
                <c:ptCount val="53"/>
                <c:pt idx="0">
                  <c:v>100</c:v>
                </c:pt>
                <c:pt idx="1">
                  <c:v>96.153846153846146</c:v>
                </c:pt>
                <c:pt idx="2">
                  <c:v>93.589743589743577</c:v>
                </c:pt>
                <c:pt idx="3">
                  <c:v>89.743589743589723</c:v>
                </c:pt>
                <c:pt idx="4">
                  <c:v>85.897435897435869</c:v>
                </c:pt>
                <c:pt idx="5">
                  <c:v>83.3333333333333</c:v>
                </c:pt>
                <c:pt idx="6">
                  <c:v>80.769230769230731</c:v>
                </c:pt>
                <c:pt idx="7">
                  <c:v>78.205128205128162</c:v>
                </c:pt>
                <c:pt idx="8">
                  <c:v>75.641025641025593</c:v>
                </c:pt>
                <c:pt idx="9">
                  <c:v>73.076923076923023</c:v>
                </c:pt>
                <c:pt idx="10">
                  <c:v>70.512820512820454</c:v>
                </c:pt>
                <c:pt idx="11">
                  <c:v>67.948717948717885</c:v>
                </c:pt>
                <c:pt idx="12">
                  <c:v>66.6666666666666</c:v>
                </c:pt>
                <c:pt idx="13">
                  <c:v>64.102564102564031</c:v>
                </c:pt>
                <c:pt idx="14">
                  <c:v>62.820512820512747</c:v>
                </c:pt>
                <c:pt idx="15">
                  <c:v>60.256410256410177</c:v>
                </c:pt>
                <c:pt idx="16">
                  <c:v>58.974358974358893</c:v>
                </c:pt>
                <c:pt idx="17">
                  <c:v>57.692307692307608</c:v>
                </c:pt>
                <c:pt idx="18">
                  <c:v>56.410256410256324</c:v>
                </c:pt>
                <c:pt idx="19">
                  <c:v>55.128205128205039</c:v>
                </c:pt>
                <c:pt idx="20">
                  <c:v>53.846153846153754</c:v>
                </c:pt>
                <c:pt idx="21">
                  <c:v>52.56410256410247</c:v>
                </c:pt>
                <c:pt idx="22">
                  <c:v>51.282051282051185</c:v>
                </c:pt>
                <c:pt idx="23">
                  <c:v>49.999999999999901</c:v>
                </c:pt>
                <c:pt idx="24">
                  <c:v>48.717948717948616</c:v>
                </c:pt>
                <c:pt idx="25">
                  <c:v>47.435897435897331</c:v>
                </c:pt>
                <c:pt idx="26">
                  <c:v>46.153846153846047</c:v>
                </c:pt>
                <c:pt idx="27">
                  <c:v>44.871794871794762</c:v>
                </c:pt>
                <c:pt idx="28">
                  <c:v>43.589743589743478</c:v>
                </c:pt>
                <c:pt idx="29">
                  <c:v>42.307692307692193</c:v>
                </c:pt>
                <c:pt idx="30">
                  <c:v>39.743589743589624</c:v>
                </c:pt>
                <c:pt idx="31">
                  <c:v>38.461538461538339</c:v>
                </c:pt>
                <c:pt idx="32">
                  <c:v>33.333333333333201</c:v>
                </c:pt>
                <c:pt idx="33">
                  <c:v>32.051282051281916</c:v>
                </c:pt>
                <c:pt idx="34">
                  <c:v>30.769230769230635</c:v>
                </c:pt>
                <c:pt idx="35">
                  <c:v>28.205128205128073</c:v>
                </c:pt>
                <c:pt idx="36">
                  <c:v>26.923076923076792</c:v>
                </c:pt>
                <c:pt idx="37">
                  <c:v>25.641025641025511</c:v>
                </c:pt>
                <c:pt idx="38">
                  <c:v>24.35897435897423</c:v>
                </c:pt>
                <c:pt idx="39">
                  <c:v>23.076923076922949</c:v>
                </c:pt>
                <c:pt idx="40">
                  <c:v>21.794871794871668</c:v>
                </c:pt>
                <c:pt idx="41">
                  <c:v>20.512820512820387</c:v>
                </c:pt>
                <c:pt idx="42">
                  <c:v>19.230769230769106</c:v>
                </c:pt>
                <c:pt idx="43">
                  <c:v>17.948717948717825</c:v>
                </c:pt>
                <c:pt idx="44">
                  <c:v>16.666666666666544</c:v>
                </c:pt>
                <c:pt idx="45">
                  <c:v>14.102564102563981</c:v>
                </c:pt>
                <c:pt idx="46">
                  <c:v>12.8205128205127</c:v>
                </c:pt>
                <c:pt idx="47">
                  <c:v>11.538461538461419</c:v>
                </c:pt>
                <c:pt idx="48">
                  <c:v>10.256410256410138</c:v>
                </c:pt>
                <c:pt idx="49">
                  <c:v>7.6923076923075753</c:v>
                </c:pt>
                <c:pt idx="50">
                  <c:v>6.4102564102562933</c:v>
                </c:pt>
                <c:pt idx="51">
                  <c:v>1.2820512820511656</c:v>
                </c:pt>
                <c:pt idx="52">
                  <c:v>0</c:v>
                </c:pt>
              </c:numCache>
            </c:numRef>
          </c:xVal>
          <c:yVal>
            <c:numRef>
              <c:f>'G29 Break Force RAW-DATA (2)'!$I$240:$I$292</c:f>
              <c:numCache>
                <c:formatCode>General</c:formatCode>
                <c:ptCount val="53"/>
                <c:pt idx="0">
                  <c:v>148</c:v>
                </c:pt>
                <c:pt idx="1">
                  <c:v>149</c:v>
                </c:pt>
                <c:pt idx="2">
                  <c:v>150</c:v>
                </c:pt>
                <c:pt idx="3">
                  <c:v>151</c:v>
                </c:pt>
                <c:pt idx="4">
                  <c:v>152</c:v>
                </c:pt>
                <c:pt idx="5">
                  <c:v>153</c:v>
                </c:pt>
                <c:pt idx="6">
                  <c:v>154</c:v>
                </c:pt>
                <c:pt idx="7">
                  <c:v>155</c:v>
                </c:pt>
                <c:pt idx="8">
                  <c:v>156</c:v>
                </c:pt>
                <c:pt idx="9">
                  <c:v>157</c:v>
                </c:pt>
                <c:pt idx="10">
                  <c:v>158</c:v>
                </c:pt>
                <c:pt idx="11">
                  <c:v>159</c:v>
                </c:pt>
                <c:pt idx="12">
                  <c:v>160</c:v>
                </c:pt>
                <c:pt idx="13">
                  <c:v>161</c:v>
                </c:pt>
                <c:pt idx="14">
                  <c:v>162</c:v>
                </c:pt>
                <c:pt idx="15">
                  <c:v>163</c:v>
                </c:pt>
                <c:pt idx="16">
                  <c:v>164</c:v>
                </c:pt>
                <c:pt idx="17">
                  <c:v>165</c:v>
                </c:pt>
                <c:pt idx="18">
                  <c:v>166</c:v>
                </c:pt>
                <c:pt idx="19">
                  <c:v>167</c:v>
                </c:pt>
                <c:pt idx="20">
                  <c:v>168</c:v>
                </c:pt>
                <c:pt idx="21">
                  <c:v>169</c:v>
                </c:pt>
                <c:pt idx="22">
                  <c:v>170</c:v>
                </c:pt>
                <c:pt idx="23">
                  <c:v>171</c:v>
                </c:pt>
                <c:pt idx="24">
                  <c:v>172</c:v>
                </c:pt>
                <c:pt idx="25">
                  <c:v>173</c:v>
                </c:pt>
                <c:pt idx="26">
                  <c:v>174</c:v>
                </c:pt>
                <c:pt idx="27">
                  <c:v>176</c:v>
                </c:pt>
                <c:pt idx="28">
                  <c:v>177</c:v>
                </c:pt>
                <c:pt idx="29">
                  <c:v>179</c:v>
                </c:pt>
                <c:pt idx="30">
                  <c:v>182</c:v>
                </c:pt>
                <c:pt idx="31">
                  <c:v>184</c:v>
                </c:pt>
                <c:pt idx="32">
                  <c:v>191</c:v>
                </c:pt>
                <c:pt idx="33">
                  <c:v>192</c:v>
                </c:pt>
                <c:pt idx="34">
                  <c:v>194</c:v>
                </c:pt>
                <c:pt idx="35">
                  <c:v>197</c:v>
                </c:pt>
                <c:pt idx="36">
                  <c:v>199</c:v>
                </c:pt>
                <c:pt idx="37">
                  <c:v>200</c:v>
                </c:pt>
                <c:pt idx="38">
                  <c:v>202</c:v>
                </c:pt>
                <c:pt idx="39">
                  <c:v>204</c:v>
                </c:pt>
                <c:pt idx="40">
                  <c:v>205</c:v>
                </c:pt>
                <c:pt idx="41">
                  <c:v>207</c:v>
                </c:pt>
                <c:pt idx="42">
                  <c:v>208</c:v>
                </c:pt>
                <c:pt idx="43">
                  <c:v>210</c:v>
                </c:pt>
                <c:pt idx="44">
                  <c:v>212</c:v>
                </c:pt>
                <c:pt idx="45">
                  <c:v>215</c:v>
                </c:pt>
                <c:pt idx="46">
                  <c:v>217</c:v>
                </c:pt>
                <c:pt idx="47">
                  <c:v>218</c:v>
                </c:pt>
                <c:pt idx="48">
                  <c:v>219</c:v>
                </c:pt>
                <c:pt idx="49">
                  <c:v>221</c:v>
                </c:pt>
                <c:pt idx="50">
                  <c:v>222</c:v>
                </c:pt>
                <c:pt idx="51">
                  <c:v>225</c:v>
                </c:pt>
                <c:pt idx="52">
                  <c:v>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6-42CB-BF7A-BEBFA5E12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360408"/>
        <c:axId val="646359096"/>
      </c:scatterChart>
      <c:valAx>
        <c:axId val="646360408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359096"/>
        <c:crosses val="autoZero"/>
        <c:crossBetween val="midCat"/>
      </c:valAx>
      <c:valAx>
        <c:axId val="646359096"/>
        <c:scaling>
          <c:orientation val="minMax"/>
          <c:max val="230"/>
          <c:min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36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445578014882585"/>
                  <c:y val="-0.663178646615374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'G29 Break Force Corrected'!$A$5:$A$26</c:f>
              <c:numCache>
                <c:formatCode>General</c:formatCode>
                <c:ptCount val="22"/>
                <c:pt idx="0">
                  <c:v>148</c:v>
                </c:pt>
                <c:pt idx="1">
                  <c:v>149</c:v>
                </c:pt>
                <c:pt idx="2">
                  <c:v>150</c:v>
                </c:pt>
                <c:pt idx="3">
                  <c:v>151</c:v>
                </c:pt>
                <c:pt idx="4">
                  <c:v>152</c:v>
                </c:pt>
                <c:pt idx="5">
                  <c:v>153</c:v>
                </c:pt>
                <c:pt idx="6">
                  <c:v>154</c:v>
                </c:pt>
                <c:pt idx="7">
                  <c:v>155</c:v>
                </c:pt>
                <c:pt idx="8">
                  <c:v>156</c:v>
                </c:pt>
                <c:pt idx="9">
                  <c:v>157</c:v>
                </c:pt>
                <c:pt idx="10">
                  <c:v>160</c:v>
                </c:pt>
                <c:pt idx="11">
                  <c:v>162</c:v>
                </c:pt>
                <c:pt idx="12">
                  <c:v>165</c:v>
                </c:pt>
                <c:pt idx="13">
                  <c:v>168</c:v>
                </c:pt>
                <c:pt idx="14">
                  <c:v>171</c:v>
                </c:pt>
                <c:pt idx="15">
                  <c:v>177</c:v>
                </c:pt>
                <c:pt idx="16">
                  <c:v>184</c:v>
                </c:pt>
                <c:pt idx="17">
                  <c:v>192</c:v>
                </c:pt>
                <c:pt idx="18">
                  <c:v>201</c:v>
                </c:pt>
                <c:pt idx="19">
                  <c:v>208</c:v>
                </c:pt>
                <c:pt idx="20">
                  <c:v>218</c:v>
                </c:pt>
                <c:pt idx="21">
                  <c:v>226</c:v>
                </c:pt>
              </c:numCache>
            </c:numRef>
          </c:xVal>
          <c:yVal>
            <c:numRef>
              <c:f>'G29 Break Force Corrected'!$B$5:$B$26</c:f>
              <c:numCache>
                <c:formatCode>0.00</c:formatCode>
                <c:ptCount val="22"/>
                <c:pt idx="0">
                  <c:v>100</c:v>
                </c:pt>
                <c:pt idx="1">
                  <c:v>95.876288659793829</c:v>
                </c:pt>
                <c:pt idx="2">
                  <c:v>93.814432989690715</c:v>
                </c:pt>
                <c:pt idx="3">
                  <c:v>86.597938144329916</c:v>
                </c:pt>
                <c:pt idx="4">
                  <c:v>84.536082474226802</c:v>
                </c:pt>
                <c:pt idx="5">
                  <c:v>80.412371134020617</c:v>
                </c:pt>
                <c:pt idx="6">
                  <c:v>78.86597938144331</c:v>
                </c:pt>
                <c:pt idx="7">
                  <c:v>76.288659793814446</c:v>
                </c:pt>
                <c:pt idx="8">
                  <c:v>72.164948453608261</c:v>
                </c:pt>
                <c:pt idx="9">
                  <c:v>70.103092783505161</c:v>
                </c:pt>
                <c:pt idx="10">
                  <c:v>65.979381443298976</c:v>
                </c:pt>
                <c:pt idx="11">
                  <c:v>59.793814432989691</c:v>
                </c:pt>
                <c:pt idx="12">
                  <c:v>54.639175257731964</c:v>
                </c:pt>
                <c:pt idx="13">
                  <c:v>52.577319587628871</c:v>
                </c:pt>
                <c:pt idx="14">
                  <c:v>50</c:v>
                </c:pt>
                <c:pt idx="15">
                  <c:v>43.298969072164958</c:v>
                </c:pt>
                <c:pt idx="16">
                  <c:v>37.5</c:v>
                </c:pt>
                <c:pt idx="17">
                  <c:v>31.958762886597942</c:v>
                </c:pt>
                <c:pt idx="18">
                  <c:v>25</c:v>
                </c:pt>
                <c:pt idx="19">
                  <c:v>19.587628865979383</c:v>
                </c:pt>
                <c:pt idx="20">
                  <c:v>12.5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5-497E-8D2A-F66BC7065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100776"/>
        <c:axId val="658101432"/>
      </c:scatterChart>
      <c:valAx>
        <c:axId val="658100776"/>
        <c:scaling>
          <c:orientation val="minMax"/>
          <c:max val="230"/>
          <c:min val="1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101432"/>
        <c:crosses val="autoZero"/>
        <c:crossBetween val="midCat"/>
      </c:valAx>
      <c:valAx>
        <c:axId val="65810143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10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51589610794637997"/>
                  <c:y val="-0.176714170894480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'G29 Break Force Corrected'!$A$38:$A$52</c:f>
              <c:numCache>
                <c:formatCode>General</c:formatCode>
                <c:ptCount val="15"/>
                <c:pt idx="0">
                  <c:v>148</c:v>
                </c:pt>
                <c:pt idx="1">
                  <c:v>149</c:v>
                </c:pt>
                <c:pt idx="2">
                  <c:v>150</c:v>
                </c:pt>
                <c:pt idx="3">
                  <c:v>151</c:v>
                </c:pt>
                <c:pt idx="4">
                  <c:v>152</c:v>
                </c:pt>
                <c:pt idx="5">
                  <c:v>153</c:v>
                </c:pt>
                <c:pt idx="6">
                  <c:v>154</c:v>
                </c:pt>
                <c:pt idx="7">
                  <c:v>155</c:v>
                </c:pt>
                <c:pt idx="8">
                  <c:v>156</c:v>
                </c:pt>
                <c:pt idx="9">
                  <c:v>157</c:v>
                </c:pt>
                <c:pt idx="10">
                  <c:v>160</c:v>
                </c:pt>
                <c:pt idx="11">
                  <c:v>162</c:v>
                </c:pt>
                <c:pt idx="12">
                  <c:v>165</c:v>
                </c:pt>
                <c:pt idx="13">
                  <c:v>168</c:v>
                </c:pt>
                <c:pt idx="14">
                  <c:v>171</c:v>
                </c:pt>
              </c:numCache>
            </c:numRef>
          </c:xVal>
          <c:yVal>
            <c:numRef>
              <c:f>'G29 Break Force Corrected'!$B$38:$B$52</c:f>
              <c:numCache>
                <c:formatCode>0.00</c:formatCode>
                <c:ptCount val="15"/>
                <c:pt idx="0">
                  <c:v>100</c:v>
                </c:pt>
                <c:pt idx="1">
                  <c:v>95.876288659793829</c:v>
                </c:pt>
                <c:pt idx="2">
                  <c:v>93.814432989690715</c:v>
                </c:pt>
                <c:pt idx="3">
                  <c:v>86.597938144329916</c:v>
                </c:pt>
                <c:pt idx="4">
                  <c:v>84.536082474226802</c:v>
                </c:pt>
                <c:pt idx="5">
                  <c:v>80.412371134020617</c:v>
                </c:pt>
                <c:pt idx="6">
                  <c:v>78.86597938144331</c:v>
                </c:pt>
                <c:pt idx="7">
                  <c:v>76.288659793814446</c:v>
                </c:pt>
                <c:pt idx="8">
                  <c:v>72.164948453608261</c:v>
                </c:pt>
                <c:pt idx="9">
                  <c:v>70.103092783505161</c:v>
                </c:pt>
                <c:pt idx="10">
                  <c:v>65.979381443298976</c:v>
                </c:pt>
                <c:pt idx="11">
                  <c:v>59.793814432989691</c:v>
                </c:pt>
                <c:pt idx="12">
                  <c:v>54.639175257731964</c:v>
                </c:pt>
                <c:pt idx="13">
                  <c:v>52.577319587628871</c:v>
                </c:pt>
                <c:pt idx="1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E-4C3E-8A02-367DF4436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959224"/>
        <c:axId val="576955616"/>
      </c:scatterChart>
      <c:valAx>
        <c:axId val="57695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6955616"/>
        <c:crosses val="autoZero"/>
        <c:crossBetween val="midCat"/>
      </c:valAx>
      <c:valAx>
        <c:axId val="576955616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695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58324821850871"/>
                  <c:y val="-0.249796574081011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'G29 Break Force Corrected'!$A$132:$A$138</c:f>
              <c:numCache>
                <c:formatCode>General</c:formatCode>
                <c:ptCount val="7"/>
                <c:pt idx="0">
                  <c:v>171</c:v>
                </c:pt>
                <c:pt idx="1">
                  <c:v>177</c:v>
                </c:pt>
                <c:pt idx="2">
                  <c:v>184</c:v>
                </c:pt>
                <c:pt idx="3">
                  <c:v>192</c:v>
                </c:pt>
                <c:pt idx="4">
                  <c:v>201</c:v>
                </c:pt>
                <c:pt idx="5">
                  <c:v>208</c:v>
                </c:pt>
                <c:pt idx="6">
                  <c:v>218</c:v>
                </c:pt>
              </c:numCache>
            </c:numRef>
          </c:xVal>
          <c:yVal>
            <c:numRef>
              <c:f>'G29 Break Force Corrected'!$B$132:$B$138</c:f>
              <c:numCache>
                <c:formatCode>0.00</c:formatCode>
                <c:ptCount val="7"/>
                <c:pt idx="0">
                  <c:v>50</c:v>
                </c:pt>
                <c:pt idx="1">
                  <c:v>43.298969072164958</c:v>
                </c:pt>
                <c:pt idx="2">
                  <c:v>37.5</c:v>
                </c:pt>
                <c:pt idx="3">
                  <c:v>31.958762886597942</c:v>
                </c:pt>
                <c:pt idx="4">
                  <c:v>25</c:v>
                </c:pt>
                <c:pt idx="5">
                  <c:v>19.587628865979383</c:v>
                </c:pt>
                <c:pt idx="6">
                  <c:v>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F-426C-9025-571390B26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340336"/>
        <c:axId val="659777064"/>
      </c:scatterChart>
      <c:valAx>
        <c:axId val="570340336"/>
        <c:scaling>
          <c:orientation val="minMax"/>
          <c:max val="220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9777064"/>
        <c:crosses val="autoZero"/>
        <c:crossBetween val="midCat"/>
      </c:valAx>
      <c:valAx>
        <c:axId val="659777064"/>
        <c:scaling>
          <c:orientation val="minMax"/>
          <c:max val="5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34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5432611548556429"/>
                  <c:y val="-0.2167439486730825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'G29 Break Force Corrected'!$A$152:$A$156</c:f>
              <c:numCache>
                <c:formatCode>General</c:formatCode>
                <c:ptCount val="5"/>
                <c:pt idx="0">
                  <c:v>218</c:v>
                </c:pt>
                <c:pt idx="1">
                  <c:v>220</c:v>
                </c:pt>
                <c:pt idx="2">
                  <c:v>222</c:v>
                </c:pt>
                <c:pt idx="3">
                  <c:v>224</c:v>
                </c:pt>
                <c:pt idx="4">
                  <c:v>226</c:v>
                </c:pt>
              </c:numCache>
            </c:numRef>
          </c:xVal>
          <c:yVal>
            <c:numRef>
              <c:f>'G29 Break Force Corrected'!$B$152:$B$156</c:f>
              <c:numCache>
                <c:formatCode>0.00</c:formatCode>
                <c:ptCount val="5"/>
                <c:pt idx="0">
                  <c:v>12.5</c:v>
                </c:pt>
                <c:pt idx="1">
                  <c:v>9.375</c:v>
                </c:pt>
                <c:pt idx="2">
                  <c:v>6.25</c:v>
                </c:pt>
                <c:pt idx="3">
                  <c:v>3.125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CD-4B4B-AE46-C9A8723E9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379496"/>
        <c:axId val="578380152"/>
      </c:scatterChart>
      <c:valAx>
        <c:axId val="578379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8380152"/>
        <c:crosses val="autoZero"/>
        <c:crossBetween val="midCat"/>
      </c:valAx>
      <c:valAx>
        <c:axId val="57838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8379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64450028308038498"/>
                  <c:y val="-0.197642251412252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'G29 Break Force Corrected'!$A$66:$A$75</c:f>
              <c:numCache>
                <c:formatCode>General</c:formatCode>
                <c:ptCount val="10"/>
                <c:pt idx="0">
                  <c:v>148</c:v>
                </c:pt>
                <c:pt idx="1">
                  <c:v>149</c:v>
                </c:pt>
                <c:pt idx="2">
                  <c:v>150</c:v>
                </c:pt>
                <c:pt idx="3">
                  <c:v>151</c:v>
                </c:pt>
                <c:pt idx="4">
                  <c:v>152</c:v>
                </c:pt>
                <c:pt idx="5">
                  <c:v>153</c:v>
                </c:pt>
                <c:pt idx="6">
                  <c:v>154</c:v>
                </c:pt>
                <c:pt idx="7">
                  <c:v>155</c:v>
                </c:pt>
                <c:pt idx="8">
                  <c:v>156</c:v>
                </c:pt>
                <c:pt idx="9">
                  <c:v>157</c:v>
                </c:pt>
              </c:numCache>
            </c:numRef>
          </c:xVal>
          <c:yVal>
            <c:numRef>
              <c:f>'G29 Break Force Corrected'!$B$66:$B$75</c:f>
              <c:numCache>
                <c:formatCode>0.00</c:formatCode>
                <c:ptCount val="10"/>
                <c:pt idx="0">
                  <c:v>100</c:v>
                </c:pt>
                <c:pt idx="1">
                  <c:v>95.876288659793829</c:v>
                </c:pt>
                <c:pt idx="2">
                  <c:v>93.814432989690715</c:v>
                </c:pt>
                <c:pt idx="3">
                  <c:v>86.597938144329916</c:v>
                </c:pt>
                <c:pt idx="4">
                  <c:v>84.536082474226802</c:v>
                </c:pt>
                <c:pt idx="5">
                  <c:v>80.412371134020617</c:v>
                </c:pt>
                <c:pt idx="6">
                  <c:v>78.86597938144331</c:v>
                </c:pt>
                <c:pt idx="7">
                  <c:v>76.288659793814446</c:v>
                </c:pt>
                <c:pt idx="8">
                  <c:v>72.164948453608261</c:v>
                </c:pt>
                <c:pt idx="9">
                  <c:v>70.103092783505161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6-4962-B5E4-A999DF580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200656"/>
        <c:axId val="652199016"/>
      </c:scatterChart>
      <c:valAx>
        <c:axId val="65220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2199016"/>
        <c:crosses val="autoZero"/>
        <c:crossBetween val="midCat"/>
      </c:valAx>
      <c:valAx>
        <c:axId val="652199016"/>
        <c:scaling>
          <c:orientation val="minMax"/>
          <c:max val="10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220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940798226630109"/>
                  <c:y val="-0.163926174451139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'G29 Break Force Corrected'!$A$87:$A$90</c:f>
              <c:numCache>
                <c:formatCode>General</c:formatCode>
                <c:ptCount val="4"/>
                <c:pt idx="0">
                  <c:v>157</c:v>
                </c:pt>
                <c:pt idx="1">
                  <c:v>160</c:v>
                </c:pt>
                <c:pt idx="2">
                  <c:v>162</c:v>
                </c:pt>
                <c:pt idx="3">
                  <c:v>165</c:v>
                </c:pt>
              </c:numCache>
            </c:numRef>
          </c:xVal>
          <c:yVal>
            <c:numRef>
              <c:f>'G29 Break Force Corrected'!$B$87:$B$90</c:f>
              <c:numCache>
                <c:formatCode>0.00</c:formatCode>
                <c:ptCount val="4"/>
                <c:pt idx="0">
                  <c:v>70.103092783505161</c:v>
                </c:pt>
                <c:pt idx="1">
                  <c:v>65.979381443298976</c:v>
                </c:pt>
                <c:pt idx="2">
                  <c:v>59.793814432989691</c:v>
                </c:pt>
                <c:pt idx="3">
                  <c:v>54.639175257731964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2-4B37-B9F5-885E996AF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414224"/>
        <c:axId val="654418488"/>
      </c:scatterChart>
      <c:valAx>
        <c:axId val="65441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4418488"/>
        <c:crosses val="autoZero"/>
        <c:crossBetween val="midCat"/>
      </c:valAx>
      <c:valAx>
        <c:axId val="6544184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4414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3307847106035966"/>
                  <c:y val="-0.13516245403100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'G29 Break Force Corrected'!$A$111:$A$115</c:f>
              <c:numCache>
                <c:formatCode>General</c:formatCode>
                <c:ptCount val="5"/>
                <c:pt idx="0">
                  <c:v>165</c:v>
                </c:pt>
                <c:pt idx="1">
                  <c:v>166.5</c:v>
                </c:pt>
                <c:pt idx="2">
                  <c:v>168</c:v>
                </c:pt>
                <c:pt idx="3">
                  <c:v>169.5</c:v>
                </c:pt>
                <c:pt idx="4">
                  <c:v>171</c:v>
                </c:pt>
              </c:numCache>
            </c:numRef>
          </c:xVal>
          <c:yVal>
            <c:numRef>
              <c:f>'G29 Break Force Corrected'!$B$111:$B$115</c:f>
              <c:numCache>
                <c:formatCode>General</c:formatCode>
                <c:ptCount val="5"/>
                <c:pt idx="0" formatCode="0.00">
                  <c:v>54.639175257731964</c:v>
                </c:pt>
                <c:pt idx="1">
                  <c:v>53.608247422680421</c:v>
                </c:pt>
                <c:pt idx="2" formatCode="0.00">
                  <c:v>52.577319587628871</c:v>
                </c:pt>
                <c:pt idx="3">
                  <c:v>51.288659793814432</c:v>
                </c:pt>
                <c:pt idx="4" formatCode="0.0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B-411B-801C-8664B10EF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538320"/>
        <c:axId val="568540616"/>
      </c:scatterChart>
      <c:valAx>
        <c:axId val="56853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540616"/>
        <c:crosses val="autoZero"/>
        <c:crossBetween val="midCat"/>
      </c:valAx>
      <c:valAx>
        <c:axId val="56854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53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472440</xdr:colOff>
      <xdr:row>239</xdr:row>
      <xdr:rowOff>15240</xdr:rowOff>
    </xdr:from>
    <xdr:to>
      <xdr:col>11</xdr:col>
      <xdr:colOff>289560</xdr:colOff>
      <xdr:row>254</xdr:row>
      <xdr:rowOff>15240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172720</xdr:colOff>
      <xdr:row>151</xdr:row>
      <xdr:rowOff>99785</xdr:rowOff>
    </xdr:from>
    <xdr:to>
      <xdr:col>27</xdr:col>
      <xdr:colOff>405130</xdr:colOff>
      <xdr:row>178</xdr:row>
      <xdr:rowOff>36649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212270</xdr:colOff>
      <xdr:row>179</xdr:row>
      <xdr:rowOff>81642</xdr:rowOff>
    </xdr:from>
    <xdr:to>
      <xdr:col>27</xdr:col>
      <xdr:colOff>359228</xdr:colOff>
      <xdr:row>211</xdr:row>
      <xdr:rowOff>10885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257175</xdr:colOff>
      <xdr:row>244</xdr:row>
      <xdr:rowOff>85725</xdr:rowOff>
    </xdr:from>
    <xdr:to>
      <xdr:col>23</xdr:col>
      <xdr:colOff>409575</xdr:colOff>
      <xdr:row>271</xdr:row>
      <xdr:rowOff>76200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550334</xdr:colOff>
      <xdr:row>4</xdr:row>
      <xdr:rowOff>8465</xdr:rowOff>
    </xdr:from>
    <xdr:to>
      <xdr:col>13</xdr:col>
      <xdr:colOff>440266</xdr:colOff>
      <xdr:row>35</xdr:row>
      <xdr:rowOff>160866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546099</xdr:colOff>
      <xdr:row>36</xdr:row>
      <xdr:rowOff>21166</xdr:rowOff>
    </xdr:from>
    <xdr:to>
      <xdr:col>13</xdr:col>
      <xdr:colOff>423332</xdr:colOff>
      <xdr:row>61</xdr:row>
      <xdr:rowOff>118532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448734</xdr:colOff>
      <xdr:row>131</xdr:row>
      <xdr:rowOff>8466</xdr:rowOff>
    </xdr:from>
    <xdr:to>
      <xdr:col>13</xdr:col>
      <xdr:colOff>372532</xdr:colOff>
      <xdr:row>148</xdr:row>
      <xdr:rowOff>101598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520701</xdr:colOff>
      <xdr:row>149</xdr:row>
      <xdr:rowOff>71967</xdr:rowOff>
    </xdr:from>
    <xdr:to>
      <xdr:col>8</xdr:col>
      <xdr:colOff>317501</xdr:colOff>
      <xdr:row>164</xdr:row>
      <xdr:rowOff>21167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579966</xdr:colOff>
      <xdr:row>62</xdr:row>
      <xdr:rowOff>21166</xdr:rowOff>
    </xdr:from>
    <xdr:to>
      <xdr:col>13</xdr:col>
      <xdr:colOff>414865</xdr:colOff>
      <xdr:row>80</xdr:row>
      <xdr:rowOff>169333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588433</xdr:colOff>
      <xdr:row>82</xdr:row>
      <xdr:rowOff>173566</xdr:rowOff>
    </xdr:from>
    <xdr:to>
      <xdr:col>13</xdr:col>
      <xdr:colOff>397933</xdr:colOff>
      <xdr:row>102</xdr:row>
      <xdr:rowOff>135466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579967</xdr:colOff>
      <xdr:row>103</xdr:row>
      <xdr:rowOff>182034</xdr:rowOff>
    </xdr:from>
    <xdr:to>
      <xdr:col>13</xdr:col>
      <xdr:colOff>372533</xdr:colOff>
      <xdr:row>128</xdr:row>
      <xdr:rowOff>152400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</xdr:row>
          <xdr:rowOff>38100</xdr:rowOff>
        </xdr:from>
        <xdr:to>
          <xdr:col>9</xdr:col>
          <xdr:colOff>632460</xdr:colOff>
          <xdr:row>4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BD7E-8E76-40FD-9562-30700EC5BF21}">
  <sheetPr codeName="Tabelle1"/>
  <dimension ref="B1:J260"/>
  <sheetViews>
    <sheetView topLeftCell="A233" workbookViewId="0">
      <selection activeCell="B233" sqref="B1:B1048576"/>
    </sheetView>
  </sheetViews>
  <sheetFormatPr baseColWidth="10" defaultRowHeight="14.4" x14ac:dyDescent="0.3"/>
  <cols>
    <col min="2" max="2" width="16.88671875" bestFit="1" customWidth="1"/>
  </cols>
  <sheetData>
    <row r="1" spans="2:10" x14ac:dyDescent="0.3">
      <c r="B1" t="s">
        <v>4</v>
      </c>
      <c r="C1">
        <v>3.4</v>
      </c>
    </row>
    <row r="2" spans="2:10" x14ac:dyDescent="0.3">
      <c r="B2" t="s">
        <v>5</v>
      </c>
      <c r="C2">
        <f>C260</f>
        <v>3.24</v>
      </c>
    </row>
    <row r="4" spans="2:10" x14ac:dyDescent="0.3">
      <c r="B4" t="s">
        <v>3</v>
      </c>
      <c r="C4" t="s">
        <v>0</v>
      </c>
      <c r="D4" t="s">
        <v>6</v>
      </c>
      <c r="F4" t="s">
        <v>7</v>
      </c>
      <c r="I4" t="s">
        <v>0</v>
      </c>
      <c r="J4" t="s">
        <v>1</v>
      </c>
    </row>
    <row r="5" spans="2:10" x14ac:dyDescent="0.3">
      <c r="B5">
        <v>0</v>
      </c>
      <c r="C5" s="1">
        <v>0.1067</v>
      </c>
      <c r="D5" s="1">
        <f>(B5/255)*$C$2</f>
        <v>0</v>
      </c>
      <c r="E5" s="1"/>
      <c r="F5" s="1">
        <f>C5-D5</f>
        <v>0.1067</v>
      </c>
      <c r="I5">
        <v>0.111</v>
      </c>
      <c r="J5">
        <v>7.5999999999999998E-2</v>
      </c>
    </row>
    <row r="6" spans="2:10" x14ac:dyDescent="0.3">
      <c r="B6">
        <v>1</v>
      </c>
      <c r="C6" s="1">
        <v>0.11799999999999999</v>
      </c>
      <c r="D6" s="1">
        <f t="shared" ref="D6:D69" si="0">(B6/255)*$C$2</f>
        <v>1.2705882352941178E-2</v>
      </c>
      <c r="E6" s="1"/>
      <c r="F6" s="1">
        <f t="shared" ref="F6:F69" si="1">C6-D6</f>
        <v>0.10529411764705882</v>
      </c>
    </row>
    <row r="7" spans="2:10" x14ac:dyDescent="0.3">
      <c r="B7">
        <v>2</v>
      </c>
      <c r="C7" s="1">
        <v>0.125</v>
      </c>
      <c r="D7" s="1">
        <f t="shared" si="0"/>
        <v>2.5411764705882356E-2</v>
      </c>
      <c r="E7" s="1"/>
      <c r="F7" s="1">
        <f t="shared" si="1"/>
        <v>9.9588235294117644E-2</v>
      </c>
    </row>
    <row r="8" spans="2:10" x14ac:dyDescent="0.3">
      <c r="B8">
        <v>3</v>
      </c>
      <c r="C8" s="1">
        <v>0.13500000000000001</v>
      </c>
      <c r="D8" s="1">
        <f t="shared" si="0"/>
        <v>3.8117647058823534E-2</v>
      </c>
      <c r="E8" s="1"/>
      <c r="F8" s="1">
        <f t="shared" si="1"/>
        <v>9.6882352941176475E-2</v>
      </c>
    </row>
    <row r="9" spans="2:10" x14ac:dyDescent="0.3">
      <c r="B9">
        <v>4</v>
      </c>
      <c r="C9" s="1">
        <v>0.14499999999999999</v>
      </c>
      <c r="D9" s="1">
        <f t="shared" si="0"/>
        <v>5.0823529411764712E-2</v>
      </c>
      <c r="E9" s="1"/>
      <c r="F9" s="1">
        <f t="shared" si="1"/>
        <v>9.4176470588235278E-2</v>
      </c>
    </row>
    <row r="10" spans="2:10" x14ac:dyDescent="0.3">
      <c r="B10">
        <v>5</v>
      </c>
      <c r="C10" s="1">
        <v>0.156</v>
      </c>
      <c r="D10" s="1">
        <f t="shared" si="0"/>
        <v>6.352941176470589E-2</v>
      </c>
      <c r="E10" s="1"/>
      <c r="F10" s="1">
        <f t="shared" si="1"/>
        <v>9.247058823529411E-2</v>
      </c>
    </row>
    <row r="11" spans="2:10" x14ac:dyDescent="0.3">
      <c r="B11">
        <v>6</v>
      </c>
      <c r="C11" s="1">
        <v>0.16800000000000001</v>
      </c>
      <c r="D11" s="1">
        <f t="shared" si="0"/>
        <v>7.6235294117647068E-2</v>
      </c>
      <c r="E11" s="1"/>
      <c r="F11" s="1">
        <f t="shared" si="1"/>
        <v>9.1764705882352943E-2</v>
      </c>
    </row>
    <row r="12" spans="2:10" x14ac:dyDescent="0.3">
      <c r="B12">
        <v>7</v>
      </c>
      <c r="C12" s="1">
        <v>0.183</v>
      </c>
      <c r="D12" s="1">
        <f t="shared" si="0"/>
        <v>8.8941176470588246E-2</v>
      </c>
      <c r="E12" s="1"/>
      <c r="F12" s="1">
        <f t="shared" si="1"/>
        <v>9.405882352941175E-2</v>
      </c>
    </row>
    <row r="13" spans="2:10" x14ac:dyDescent="0.3">
      <c r="B13">
        <v>8</v>
      </c>
      <c r="C13" s="1">
        <v>0.19500000000000001</v>
      </c>
      <c r="D13" s="1">
        <f t="shared" si="0"/>
        <v>0.10164705882352942</v>
      </c>
      <c r="E13" s="1"/>
      <c r="F13" s="1">
        <f t="shared" si="1"/>
        <v>9.3352941176470583E-2</v>
      </c>
    </row>
    <row r="14" spans="2:10" x14ac:dyDescent="0.3">
      <c r="B14">
        <v>9</v>
      </c>
      <c r="C14" s="1">
        <v>0.20399999999999999</v>
      </c>
      <c r="D14" s="1">
        <f t="shared" si="0"/>
        <v>0.11435294117647059</v>
      </c>
      <c r="E14" s="1"/>
      <c r="F14" s="1">
        <f t="shared" si="1"/>
        <v>8.9647058823529399E-2</v>
      </c>
    </row>
    <row r="15" spans="2:10" x14ac:dyDescent="0.3">
      <c r="B15">
        <v>10</v>
      </c>
      <c r="C15" s="1">
        <v>0.218</v>
      </c>
      <c r="D15" s="1">
        <f t="shared" si="0"/>
        <v>0.12705882352941178</v>
      </c>
      <c r="E15" s="1"/>
      <c r="F15" s="1">
        <f t="shared" si="1"/>
        <v>9.094117647058822E-2</v>
      </c>
      <c r="I15">
        <v>0.22800000000000001</v>
      </c>
      <c r="J15">
        <v>0.19400000000000001</v>
      </c>
    </row>
    <row r="16" spans="2:10" x14ac:dyDescent="0.3">
      <c r="B16">
        <v>11</v>
      </c>
      <c r="C16" s="1">
        <v>0.22800000000000001</v>
      </c>
      <c r="D16" s="1">
        <f t="shared" si="0"/>
        <v>0.13976470588235296</v>
      </c>
      <c r="E16" s="1"/>
      <c r="F16" s="1">
        <f t="shared" si="1"/>
        <v>8.8235294117647051E-2</v>
      </c>
    </row>
    <row r="17" spans="2:10" x14ac:dyDescent="0.3">
      <c r="B17">
        <v>12</v>
      </c>
      <c r="C17" s="1">
        <v>0.23899999999999999</v>
      </c>
      <c r="D17" s="1">
        <f t="shared" si="0"/>
        <v>0.15247058823529414</v>
      </c>
      <c r="E17" s="1"/>
      <c r="F17" s="1">
        <f t="shared" si="1"/>
        <v>8.6529411764705855E-2</v>
      </c>
    </row>
    <row r="18" spans="2:10" x14ac:dyDescent="0.3">
      <c r="B18">
        <v>13</v>
      </c>
      <c r="C18" s="1">
        <v>0.252</v>
      </c>
      <c r="D18" s="1">
        <f t="shared" si="0"/>
        <v>0.16517647058823531</v>
      </c>
      <c r="E18" s="1"/>
      <c r="F18" s="1">
        <f t="shared" si="1"/>
        <v>8.6823529411764688E-2</v>
      </c>
    </row>
    <row r="19" spans="2:10" x14ac:dyDescent="0.3">
      <c r="B19">
        <v>14</v>
      </c>
      <c r="C19" s="1">
        <v>0.26500000000000001</v>
      </c>
      <c r="D19" s="1">
        <f t="shared" si="0"/>
        <v>0.17788235294117649</v>
      </c>
      <c r="E19" s="1"/>
      <c r="F19" s="1">
        <f t="shared" si="1"/>
        <v>8.7117647058823522E-2</v>
      </c>
    </row>
    <row r="20" spans="2:10" x14ac:dyDescent="0.3">
      <c r="B20">
        <v>15</v>
      </c>
      <c r="C20" s="1">
        <v>0.27</v>
      </c>
      <c r="D20" s="1">
        <f t="shared" si="0"/>
        <v>0.19058823529411767</v>
      </c>
      <c r="E20" s="1"/>
      <c r="F20" s="1">
        <f t="shared" si="1"/>
        <v>7.9411764705882348E-2</v>
      </c>
    </row>
    <row r="21" spans="2:10" x14ac:dyDescent="0.3">
      <c r="B21">
        <v>16</v>
      </c>
      <c r="C21" s="1">
        <v>0.29599999999999999</v>
      </c>
      <c r="D21" s="1">
        <f t="shared" si="0"/>
        <v>0.20329411764705885</v>
      </c>
      <c r="E21" s="1"/>
      <c r="F21" s="1">
        <f t="shared" si="1"/>
        <v>9.2705882352941138E-2</v>
      </c>
    </row>
    <row r="22" spans="2:10" x14ac:dyDescent="0.3">
      <c r="B22">
        <v>17</v>
      </c>
      <c r="C22" s="1">
        <v>0.28599999999999998</v>
      </c>
      <c r="D22" s="1">
        <f t="shared" si="0"/>
        <v>0.216</v>
      </c>
      <c r="E22" s="1"/>
      <c r="F22" s="1">
        <f t="shared" si="1"/>
        <v>6.9999999999999979E-2</v>
      </c>
    </row>
    <row r="23" spans="2:10" x14ac:dyDescent="0.3">
      <c r="B23">
        <v>18</v>
      </c>
      <c r="C23" s="1">
        <v>0.28999999999999998</v>
      </c>
      <c r="D23" s="1">
        <f t="shared" si="0"/>
        <v>0.22870588235294118</v>
      </c>
      <c r="E23" s="1"/>
      <c r="F23" s="1">
        <f t="shared" si="1"/>
        <v>6.1294117647058804E-2</v>
      </c>
    </row>
    <row r="24" spans="2:10" x14ac:dyDescent="0.3">
      <c r="B24">
        <v>19</v>
      </c>
      <c r="C24" s="1">
        <v>0.308</v>
      </c>
      <c r="D24" s="1">
        <f t="shared" si="0"/>
        <v>0.24141176470588235</v>
      </c>
      <c r="E24" s="1"/>
      <c r="F24" s="1">
        <f t="shared" si="1"/>
        <v>6.6588235294117643E-2</v>
      </c>
    </row>
    <row r="25" spans="2:10" x14ac:dyDescent="0.3">
      <c r="B25">
        <v>20</v>
      </c>
      <c r="C25" s="1">
        <v>0.312</v>
      </c>
      <c r="D25" s="1">
        <f t="shared" si="0"/>
        <v>0.25411764705882356</v>
      </c>
      <c r="E25" s="1"/>
      <c r="F25" s="1">
        <f t="shared" si="1"/>
        <v>5.788235294117644E-2</v>
      </c>
      <c r="I25">
        <v>0.34799999999999998</v>
      </c>
      <c r="J25">
        <v>0.3</v>
      </c>
    </row>
    <row r="26" spans="2:10" x14ac:dyDescent="0.3">
      <c r="B26">
        <v>21</v>
      </c>
      <c r="C26" s="1">
        <v>0.33900000000000002</v>
      </c>
      <c r="D26" s="1">
        <f t="shared" si="0"/>
        <v>0.26682352941176474</v>
      </c>
      <c r="E26" s="1"/>
      <c r="F26" s="1">
        <f t="shared" si="1"/>
        <v>7.2176470588235286E-2</v>
      </c>
    </row>
    <row r="27" spans="2:10" x14ac:dyDescent="0.3">
      <c r="B27">
        <v>22</v>
      </c>
      <c r="C27" s="1">
        <v>0.34799999999999998</v>
      </c>
      <c r="D27" s="1">
        <f t="shared" si="0"/>
        <v>0.27952941176470592</v>
      </c>
      <c r="E27" s="1"/>
      <c r="F27" s="1">
        <f t="shared" si="1"/>
        <v>6.8470588235294061E-2</v>
      </c>
    </row>
    <row r="28" spans="2:10" x14ac:dyDescent="0.3">
      <c r="B28">
        <v>23</v>
      </c>
      <c r="C28" s="1">
        <v>0.36</v>
      </c>
      <c r="D28" s="1">
        <f t="shared" si="0"/>
        <v>0.29223529411764709</v>
      </c>
      <c r="E28" s="1"/>
      <c r="F28" s="1">
        <f t="shared" si="1"/>
        <v>6.7764705882352894E-2</v>
      </c>
    </row>
    <row r="29" spans="2:10" x14ac:dyDescent="0.3">
      <c r="B29">
        <v>24</v>
      </c>
      <c r="C29" s="1">
        <v>0.374</v>
      </c>
      <c r="D29" s="1">
        <f t="shared" si="0"/>
        <v>0.30494117647058827</v>
      </c>
      <c r="E29" s="1"/>
      <c r="F29" s="1">
        <f t="shared" si="1"/>
        <v>6.9058823529411728E-2</v>
      </c>
    </row>
    <row r="30" spans="2:10" x14ac:dyDescent="0.3">
      <c r="B30">
        <v>25</v>
      </c>
      <c r="C30" s="1">
        <v>0.38</v>
      </c>
      <c r="D30" s="1">
        <f t="shared" si="0"/>
        <v>0.31764705882352945</v>
      </c>
      <c r="E30" s="1"/>
      <c r="F30" s="1">
        <f t="shared" si="1"/>
        <v>6.2352941176470555E-2</v>
      </c>
    </row>
    <row r="31" spans="2:10" x14ac:dyDescent="0.3">
      <c r="B31">
        <v>26</v>
      </c>
      <c r="C31" s="1">
        <v>0.39800000000000002</v>
      </c>
      <c r="D31" s="1">
        <f t="shared" si="0"/>
        <v>0.33035294117647063</v>
      </c>
      <c r="E31" s="1"/>
      <c r="F31" s="1">
        <f t="shared" si="1"/>
        <v>6.7647058823529393E-2</v>
      </c>
    </row>
    <row r="32" spans="2:10" x14ac:dyDescent="0.3">
      <c r="B32">
        <v>27</v>
      </c>
      <c r="C32" s="1">
        <v>0.40100000000000002</v>
      </c>
      <c r="D32" s="1">
        <f t="shared" si="0"/>
        <v>0.3430588235294118</v>
      </c>
      <c r="E32" s="1"/>
      <c r="F32" s="1">
        <f t="shared" si="1"/>
        <v>5.7941176470588218E-2</v>
      </c>
    </row>
    <row r="33" spans="2:10" x14ac:dyDescent="0.3">
      <c r="B33">
        <v>28</v>
      </c>
      <c r="C33" s="1">
        <v>0.41899999999999998</v>
      </c>
      <c r="D33" s="1">
        <f t="shared" si="0"/>
        <v>0.35576470588235298</v>
      </c>
      <c r="E33" s="1"/>
      <c r="F33" s="1">
        <f t="shared" si="1"/>
        <v>6.3235294117647001E-2</v>
      </c>
    </row>
    <row r="34" spans="2:10" x14ac:dyDescent="0.3">
      <c r="B34">
        <v>29</v>
      </c>
      <c r="C34" s="1">
        <v>0.42499999999999999</v>
      </c>
      <c r="D34" s="1">
        <f t="shared" si="0"/>
        <v>0.36847058823529416</v>
      </c>
      <c r="E34" s="1"/>
      <c r="F34" s="1">
        <f t="shared" si="1"/>
        <v>5.6529411764705828E-2</v>
      </c>
    </row>
    <row r="35" spans="2:10" x14ac:dyDescent="0.3">
      <c r="B35">
        <v>30</v>
      </c>
      <c r="C35" s="1">
        <v>0.44</v>
      </c>
      <c r="D35" s="1">
        <f t="shared" si="0"/>
        <v>0.38117647058823534</v>
      </c>
      <c r="E35" s="1"/>
      <c r="F35" s="1">
        <f t="shared" si="1"/>
        <v>5.8823529411764663E-2</v>
      </c>
      <c r="I35">
        <v>0.45900000000000002</v>
      </c>
      <c r="J35">
        <v>0.42</v>
      </c>
    </row>
    <row r="36" spans="2:10" x14ac:dyDescent="0.3">
      <c r="B36">
        <v>31</v>
      </c>
      <c r="C36" s="1">
        <v>0.45100000000000001</v>
      </c>
      <c r="D36" s="1">
        <f t="shared" si="0"/>
        <v>0.39388235294117652</v>
      </c>
      <c r="E36" s="1"/>
      <c r="F36" s="1">
        <f t="shared" si="1"/>
        <v>5.7117647058823495E-2</v>
      </c>
    </row>
    <row r="37" spans="2:10" x14ac:dyDescent="0.3">
      <c r="B37">
        <v>32</v>
      </c>
      <c r="C37" s="1">
        <v>0.46</v>
      </c>
      <c r="D37" s="1">
        <f t="shared" si="0"/>
        <v>0.40658823529411769</v>
      </c>
      <c r="E37" s="1"/>
      <c r="F37" s="1">
        <f t="shared" si="1"/>
        <v>5.3411764705882325E-2</v>
      </c>
    </row>
    <row r="38" spans="2:10" x14ac:dyDescent="0.3">
      <c r="B38">
        <v>33</v>
      </c>
      <c r="C38" s="1">
        <v>0.47499999999999998</v>
      </c>
      <c r="D38" s="1">
        <f t="shared" si="0"/>
        <v>0.41929411764705887</v>
      </c>
      <c r="E38" s="1"/>
      <c r="F38" s="1">
        <f t="shared" si="1"/>
        <v>5.5705882352941105E-2</v>
      </c>
    </row>
    <row r="39" spans="2:10" x14ac:dyDescent="0.3">
      <c r="B39">
        <v>34</v>
      </c>
      <c r="C39" s="1">
        <v>0.48099999999999998</v>
      </c>
      <c r="D39" s="1">
        <f t="shared" si="0"/>
        <v>0.432</v>
      </c>
      <c r="E39" s="1"/>
      <c r="F39" s="1">
        <f t="shared" si="1"/>
        <v>4.8999999999999988E-2</v>
      </c>
    </row>
    <row r="40" spans="2:10" x14ac:dyDescent="0.3">
      <c r="B40">
        <v>35</v>
      </c>
      <c r="C40" s="1">
        <v>0.499</v>
      </c>
      <c r="D40" s="1">
        <f t="shared" si="0"/>
        <v>0.44470588235294123</v>
      </c>
      <c r="E40" s="1"/>
      <c r="F40" s="1">
        <f t="shared" si="1"/>
        <v>5.4294117647058771E-2</v>
      </c>
    </row>
    <row r="41" spans="2:10" x14ac:dyDescent="0.3">
      <c r="B41">
        <v>36</v>
      </c>
      <c r="C41" s="1">
        <v>0.502</v>
      </c>
      <c r="D41" s="1">
        <f t="shared" si="0"/>
        <v>0.45741176470588235</v>
      </c>
      <c r="E41" s="1"/>
      <c r="F41" s="1">
        <f t="shared" si="1"/>
        <v>4.4588235294117651E-2</v>
      </c>
    </row>
    <row r="42" spans="2:10" x14ac:dyDescent="0.3">
      <c r="B42">
        <v>37</v>
      </c>
      <c r="C42" s="1">
        <v>0.52</v>
      </c>
      <c r="D42" s="1">
        <f t="shared" si="0"/>
        <v>0.47011764705882358</v>
      </c>
      <c r="E42" s="1"/>
      <c r="F42" s="1">
        <f t="shared" si="1"/>
        <v>4.9882352941176433E-2</v>
      </c>
    </row>
    <row r="43" spans="2:10" x14ac:dyDescent="0.3">
      <c r="B43">
        <v>38</v>
      </c>
      <c r="C43" s="1">
        <v>0.52900000000000003</v>
      </c>
      <c r="D43" s="1">
        <f t="shared" si="0"/>
        <v>0.48282352941176471</v>
      </c>
      <c r="E43" s="1"/>
      <c r="F43" s="1">
        <f t="shared" si="1"/>
        <v>4.6176470588235319E-2</v>
      </c>
    </row>
    <row r="44" spans="2:10" x14ac:dyDescent="0.3">
      <c r="B44">
        <v>39</v>
      </c>
      <c r="C44" s="1">
        <v>0.54</v>
      </c>
      <c r="D44" s="1">
        <f t="shared" si="0"/>
        <v>0.49552941176470594</v>
      </c>
      <c r="E44" s="1"/>
      <c r="F44" s="1">
        <f t="shared" si="1"/>
        <v>4.4470588235294095E-2</v>
      </c>
    </row>
    <row r="45" spans="2:10" x14ac:dyDescent="0.3">
      <c r="B45">
        <v>40</v>
      </c>
      <c r="C45" s="1">
        <v>0.56000000000000005</v>
      </c>
      <c r="D45" s="1">
        <f t="shared" si="0"/>
        <v>0.50823529411764712</v>
      </c>
      <c r="E45" s="1"/>
      <c r="F45" s="1">
        <f t="shared" si="1"/>
        <v>5.1764705882352935E-2</v>
      </c>
      <c r="I45">
        <v>0.57499999999999996</v>
      </c>
      <c r="J45">
        <v>0.54</v>
      </c>
    </row>
    <row r="46" spans="2:10" x14ac:dyDescent="0.3">
      <c r="B46">
        <v>41</v>
      </c>
      <c r="C46" s="1">
        <v>0.56999999999999995</v>
      </c>
      <c r="D46" s="1">
        <f t="shared" si="0"/>
        <v>0.52094117647058835</v>
      </c>
      <c r="E46" s="1"/>
      <c r="F46" s="1">
        <f t="shared" si="1"/>
        <v>4.9058823529411599E-2</v>
      </c>
    </row>
    <row r="47" spans="2:10" x14ac:dyDescent="0.3">
      <c r="B47">
        <v>42</v>
      </c>
      <c r="C47" s="1">
        <v>0.58899999999999997</v>
      </c>
      <c r="D47" s="1">
        <f t="shared" si="0"/>
        <v>0.53364705882352947</v>
      </c>
      <c r="E47" s="1"/>
      <c r="F47" s="1">
        <f t="shared" si="1"/>
        <v>5.5352941176470494E-2</v>
      </c>
    </row>
    <row r="48" spans="2:10" x14ac:dyDescent="0.3">
      <c r="B48">
        <v>43</v>
      </c>
      <c r="C48" s="1">
        <v>0.59199999999999997</v>
      </c>
      <c r="D48" s="1">
        <f t="shared" si="0"/>
        <v>0.54635294117647071</v>
      </c>
      <c r="E48" s="1"/>
      <c r="F48" s="1">
        <f t="shared" si="1"/>
        <v>4.5647058823529263E-2</v>
      </c>
    </row>
    <row r="49" spans="2:10" x14ac:dyDescent="0.3">
      <c r="B49">
        <v>44</v>
      </c>
      <c r="C49" s="1">
        <v>0.60899999999999999</v>
      </c>
      <c r="D49" s="1">
        <f t="shared" si="0"/>
        <v>0.55905882352941183</v>
      </c>
      <c r="E49" s="1"/>
      <c r="F49" s="1">
        <f t="shared" si="1"/>
        <v>4.9941176470588156E-2</v>
      </c>
    </row>
    <row r="50" spans="2:10" x14ac:dyDescent="0.3">
      <c r="B50">
        <v>45</v>
      </c>
      <c r="C50" s="1">
        <v>0.61799999999999999</v>
      </c>
      <c r="D50" s="1">
        <f t="shared" si="0"/>
        <v>0.57176470588235306</v>
      </c>
      <c r="E50" s="1"/>
      <c r="F50" s="1">
        <f t="shared" si="1"/>
        <v>4.623529411764693E-2</v>
      </c>
    </row>
    <row r="51" spans="2:10" x14ac:dyDescent="0.3">
      <c r="B51">
        <v>46</v>
      </c>
      <c r="C51" s="1">
        <v>0.63</v>
      </c>
      <c r="D51" s="1">
        <f t="shared" si="0"/>
        <v>0.58447058823529419</v>
      </c>
      <c r="E51" s="1"/>
      <c r="F51" s="1">
        <f t="shared" si="1"/>
        <v>4.5529411764705818E-2</v>
      </c>
    </row>
    <row r="52" spans="2:10" x14ac:dyDescent="0.3">
      <c r="B52">
        <v>47</v>
      </c>
      <c r="C52" s="1">
        <v>0.64600000000000002</v>
      </c>
      <c r="D52" s="1">
        <f t="shared" si="0"/>
        <v>0.59717647058823542</v>
      </c>
      <c r="E52" s="1"/>
      <c r="F52" s="1">
        <f t="shared" si="1"/>
        <v>4.8823529411764599E-2</v>
      </c>
    </row>
    <row r="53" spans="2:10" x14ac:dyDescent="0.3">
      <c r="B53">
        <v>48</v>
      </c>
      <c r="C53" s="1">
        <v>0.65100000000000002</v>
      </c>
      <c r="D53" s="1">
        <f t="shared" si="0"/>
        <v>0.60988235294117654</v>
      </c>
      <c r="E53" s="1"/>
      <c r="F53" s="1">
        <f t="shared" si="1"/>
        <v>4.1117647058823481E-2</v>
      </c>
    </row>
    <row r="54" spans="2:10" x14ac:dyDescent="0.3">
      <c r="B54">
        <v>49</v>
      </c>
      <c r="C54" s="1">
        <v>0.66800000000000004</v>
      </c>
      <c r="D54" s="1">
        <f t="shared" si="0"/>
        <v>0.62258823529411778</v>
      </c>
      <c r="E54" s="1"/>
      <c r="F54" s="1">
        <f t="shared" si="1"/>
        <v>4.5411764705882263E-2</v>
      </c>
    </row>
    <row r="55" spans="2:10" x14ac:dyDescent="0.3">
      <c r="B55">
        <v>50</v>
      </c>
      <c r="C55" s="1">
        <v>0.67100000000000004</v>
      </c>
      <c r="D55" s="1">
        <f t="shared" si="0"/>
        <v>0.6352941176470589</v>
      </c>
      <c r="E55" s="1"/>
      <c r="F55" s="1">
        <f t="shared" si="1"/>
        <v>3.5705882352941143E-2</v>
      </c>
      <c r="I55">
        <v>0.69</v>
      </c>
      <c r="J55">
        <v>0.67</v>
      </c>
    </row>
    <row r="56" spans="2:10" x14ac:dyDescent="0.3">
      <c r="B56">
        <v>51</v>
      </c>
      <c r="C56" s="1">
        <v>0.68899999999999995</v>
      </c>
      <c r="D56" s="1">
        <f t="shared" si="0"/>
        <v>0.64800000000000013</v>
      </c>
      <c r="E56" s="1"/>
      <c r="F56" s="1">
        <f t="shared" si="1"/>
        <v>4.0999999999999814E-2</v>
      </c>
    </row>
    <row r="57" spans="2:10" x14ac:dyDescent="0.3">
      <c r="B57">
        <v>52</v>
      </c>
      <c r="C57" s="1">
        <v>0.70399999999999996</v>
      </c>
      <c r="D57" s="1">
        <f t="shared" si="0"/>
        <v>0.66070588235294125</v>
      </c>
      <c r="E57" s="1"/>
      <c r="F57" s="1">
        <f t="shared" si="1"/>
        <v>4.3294117647058705E-2</v>
      </c>
    </row>
    <row r="58" spans="2:10" x14ac:dyDescent="0.3">
      <c r="B58">
        <v>53</v>
      </c>
      <c r="C58" s="1">
        <v>0.73</v>
      </c>
      <c r="D58" s="1">
        <f t="shared" si="0"/>
        <v>0.67341176470588249</v>
      </c>
      <c r="E58" s="1"/>
      <c r="F58" s="1">
        <f t="shared" si="1"/>
        <v>5.6588235294117495E-2</v>
      </c>
    </row>
    <row r="59" spans="2:10" x14ac:dyDescent="0.3">
      <c r="B59">
        <v>54</v>
      </c>
      <c r="C59" s="1">
        <v>0.74399999999999999</v>
      </c>
      <c r="D59" s="1">
        <f t="shared" si="0"/>
        <v>0.68611764705882361</v>
      </c>
      <c r="E59" s="1"/>
      <c r="F59" s="1">
        <f t="shared" si="1"/>
        <v>5.7882352941176385E-2</v>
      </c>
    </row>
    <row r="60" spans="2:10" x14ac:dyDescent="0.3">
      <c r="B60">
        <v>55</v>
      </c>
      <c r="C60" s="1">
        <v>0.75</v>
      </c>
      <c r="D60" s="1">
        <f t="shared" si="0"/>
        <v>0.69882352941176473</v>
      </c>
      <c r="E60" s="1"/>
      <c r="F60" s="1">
        <f t="shared" si="1"/>
        <v>5.1176470588235268E-2</v>
      </c>
    </row>
    <row r="61" spans="2:10" x14ac:dyDescent="0.3">
      <c r="B61">
        <v>56</v>
      </c>
      <c r="C61" s="1">
        <v>0.77700000000000002</v>
      </c>
      <c r="D61" s="1">
        <f t="shared" si="0"/>
        <v>0.71152941176470597</v>
      </c>
      <c r="E61" s="1"/>
      <c r="F61" s="1">
        <f t="shared" si="1"/>
        <v>6.5470588235294058E-2</v>
      </c>
    </row>
    <row r="62" spans="2:10" x14ac:dyDescent="0.3">
      <c r="B62">
        <v>57</v>
      </c>
      <c r="C62" s="1">
        <v>0.78200000000000003</v>
      </c>
      <c r="D62" s="1">
        <f t="shared" si="0"/>
        <v>0.72423529411764709</v>
      </c>
      <c r="E62" s="1"/>
      <c r="F62" s="1">
        <f t="shared" si="1"/>
        <v>5.776470588235294E-2</v>
      </c>
    </row>
    <row r="63" spans="2:10" x14ac:dyDescent="0.3">
      <c r="B63">
        <v>58</v>
      </c>
      <c r="C63" s="1">
        <v>0.79900000000000004</v>
      </c>
      <c r="D63" s="1">
        <f t="shared" si="0"/>
        <v>0.73694117647058832</v>
      </c>
      <c r="E63" s="1"/>
      <c r="F63" s="1">
        <f t="shared" si="1"/>
        <v>6.2058823529411722E-2</v>
      </c>
    </row>
    <row r="64" spans="2:10" x14ac:dyDescent="0.3">
      <c r="B64">
        <v>59</v>
      </c>
      <c r="C64" s="1">
        <v>0.80300000000000005</v>
      </c>
      <c r="D64" s="1">
        <f t="shared" si="0"/>
        <v>0.74964705882352944</v>
      </c>
      <c r="E64" s="1"/>
      <c r="F64" s="1">
        <f t="shared" si="1"/>
        <v>5.3352941176470603E-2</v>
      </c>
    </row>
    <row r="65" spans="2:10" x14ac:dyDescent="0.3">
      <c r="B65">
        <v>60</v>
      </c>
      <c r="C65" s="1">
        <v>0.82</v>
      </c>
      <c r="D65" s="1">
        <f t="shared" si="0"/>
        <v>0.76235294117647068</v>
      </c>
      <c r="E65" s="1"/>
      <c r="F65" s="1">
        <f t="shared" si="1"/>
        <v>5.7647058823529274E-2</v>
      </c>
      <c r="I65">
        <v>0.82</v>
      </c>
      <c r="J65">
        <v>0.82</v>
      </c>
    </row>
    <row r="66" spans="2:10" x14ac:dyDescent="0.3">
      <c r="B66">
        <v>61</v>
      </c>
      <c r="C66" s="1">
        <v>0.82899999999999996</v>
      </c>
      <c r="D66" s="1">
        <f t="shared" si="0"/>
        <v>0.7750588235294118</v>
      </c>
      <c r="E66" s="1"/>
      <c r="F66" s="1">
        <f t="shared" si="1"/>
        <v>5.3941176470588159E-2</v>
      </c>
    </row>
    <row r="67" spans="2:10" x14ac:dyDescent="0.3">
      <c r="B67">
        <v>62</v>
      </c>
      <c r="C67" s="1">
        <v>0.84</v>
      </c>
      <c r="D67" s="1">
        <f t="shared" si="0"/>
        <v>0.78776470588235303</v>
      </c>
      <c r="E67" s="1"/>
      <c r="F67" s="1">
        <f t="shared" si="1"/>
        <v>5.2235294117646935E-2</v>
      </c>
    </row>
    <row r="68" spans="2:10" x14ac:dyDescent="0.3">
      <c r="B68">
        <v>63</v>
      </c>
      <c r="C68" s="1">
        <v>0.85699999999999998</v>
      </c>
      <c r="D68" s="1">
        <f t="shared" si="0"/>
        <v>0.80047058823529416</v>
      </c>
      <c r="E68" s="1"/>
      <c r="F68" s="1">
        <f t="shared" si="1"/>
        <v>5.6529411764705828E-2</v>
      </c>
    </row>
    <row r="69" spans="2:10" x14ac:dyDescent="0.3">
      <c r="B69">
        <v>64</v>
      </c>
      <c r="C69" s="1">
        <v>0.86399999999999999</v>
      </c>
      <c r="D69" s="1">
        <f t="shared" si="0"/>
        <v>0.81317647058823539</v>
      </c>
      <c r="E69" s="1"/>
      <c r="F69" s="1">
        <f t="shared" si="1"/>
        <v>5.0823529411764601E-2</v>
      </c>
    </row>
    <row r="70" spans="2:10" x14ac:dyDescent="0.3">
      <c r="B70">
        <v>65</v>
      </c>
      <c r="C70" s="1">
        <v>0.88</v>
      </c>
      <c r="D70" s="1">
        <f t="shared" ref="D70:D133" si="2">(B70/255)*$C$2</f>
        <v>0.82588235294117651</v>
      </c>
      <c r="E70" s="1"/>
      <c r="F70" s="1">
        <f t="shared" ref="F70:F133" si="3">C70-D70</f>
        <v>5.4117647058823493E-2</v>
      </c>
    </row>
    <row r="71" spans="2:10" x14ac:dyDescent="0.3">
      <c r="B71">
        <v>66</v>
      </c>
      <c r="C71" s="1">
        <v>0.89600000000000002</v>
      </c>
      <c r="D71" s="1">
        <f t="shared" si="2"/>
        <v>0.83858823529411775</v>
      </c>
      <c r="E71" s="1"/>
      <c r="F71" s="1">
        <f t="shared" si="3"/>
        <v>5.7411764705882273E-2</v>
      </c>
    </row>
    <row r="72" spans="2:10" x14ac:dyDescent="0.3">
      <c r="B72">
        <v>67</v>
      </c>
      <c r="C72" s="1">
        <v>0.9</v>
      </c>
      <c r="D72" s="1">
        <f t="shared" si="2"/>
        <v>0.85129411764705887</v>
      </c>
      <c r="E72" s="1"/>
      <c r="F72" s="1">
        <f t="shared" si="3"/>
        <v>4.8705882352941154E-2</v>
      </c>
    </row>
    <row r="73" spans="2:10" x14ac:dyDescent="0.3">
      <c r="B73">
        <v>68</v>
      </c>
      <c r="C73" s="1">
        <v>0.90800000000000003</v>
      </c>
      <c r="D73" s="1">
        <f t="shared" si="2"/>
        <v>0.86399999999999999</v>
      </c>
      <c r="E73" s="1"/>
      <c r="F73" s="1">
        <f t="shared" si="3"/>
        <v>4.4000000000000039E-2</v>
      </c>
    </row>
    <row r="74" spans="2:10" x14ac:dyDescent="0.3">
      <c r="B74">
        <v>69</v>
      </c>
      <c r="C74" s="1">
        <v>0.93</v>
      </c>
      <c r="D74" s="1">
        <f t="shared" si="2"/>
        <v>0.87670588235294122</v>
      </c>
      <c r="E74" s="1"/>
      <c r="F74" s="1">
        <f t="shared" si="3"/>
        <v>5.3294117647058825E-2</v>
      </c>
    </row>
    <row r="75" spans="2:10" x14ac:dyDescent="0.3">
      <c r="B75">
        <v>70</v>
      </c>
      <c r="C75" s="1">
        <v>0.93899999999999995</v>
      </c>
      <c r="D75" s="1">
        <f t="shared" si="2"/>
        <v>0.88941176470588246</v>
      </c>
      <c r="E75" s="1"/>
      <c r="F75" s="1">
        <f t="shared" si="3"/>
        <v>4.9588235294117489E-2</v>
      </c>
      <c r="I75">
        <v>0.93899999999999995</v>
      </c>
      <c r="J75">
        <v>0.93</v>
      </c>
    </row>
    <row r="76" spans="2:10" x14ac:dyDescent="0.3">
      <c r="B76">
        <v>71</v>
      </c>
      <c r="C76" s="1">
        <v>0.94299999999999995</v>
      </c>
      <c r="D76" s="1">
        <f t="shared" si="2"/>
        <v>0.90211764705882358</v>
      </c>
      <c r="E76" s="1"/>
      <c r="F76" s="1">
        <f t="shared" si="3"/>
        <v>4.088235294117637E-2</v>
      </c>
    </row>
    <row r="77" spans="2:10" x14ac:dyDescent="0.3">
      <c r="B77">
        <v>72</v>
      </c>
      <c r="C77" s="1">
        <v>0.96</v>
      </c>
      <c r="D77" s="1">
        <f t="shared" si="2"/>
        <v>0.9148235294117647</v>
      </c>
      <c r="E77" s="1"/>
      <c r="F77" s="1">
        <f t="shared" si="3"/>
        <v>4.5176470588235262E-2</v>
      </c>
    </row>
    <row r="78" spans="2:10" x14ac:dyDescent="0.3">
      <c r="B78">
        <v>73</v>
      </c>
      <c r="C78" s="1">
        <v>0.97599999999999998</v>
      </c>
      <c r="D78" s="1">
        <f t="shared" si="2"/>
        <v>0.92752941176470594</v>
      </c>
      <c r="E78" s="1"/>
      <c r="F78" s="1">
        <f t="shared" si="3"/>
        <v>4.8470588235294043E-2</v>
      </c>
    </row>
    <row r="79" spans="2:10" x14ac:dyDescent="0.3">
      <c r="B79">
        <v>74</v>
      </c>
      <c r="C79" s="1">
        <v>0.98</v>
      </c>
      <c r="D79" s="1">
        <f t="shared" si="2"/>
        <v>0.94023529411764717</v>
      </c>
      <c r="E79" s="1"/>
      <c r="F79" s="1">
        <f t="shared" si="3"/>
        <v>3.9764705882352813E-2</v>
      </c>
    </row>
    <row r="80" spans="2:10" x14ac:dyDescent="0.3">
      <c r="B80">
        <v>75</v>
      </c>
      <c r="C80" s="1">
        <v>0.99</v>
      </c>
      <c r="D80" s="1">
        <f t="shared" si="2"/>
        <v>0.95294117647058829</v>
      </c>
      <c r="E80" s="1"/>
      <c r="F80" s="1">
        <f t="shared" si="3"/>
        <v>3.70588235294117E-2</v>
      </c>
    </row>
    <row r="81" spans="2:10" x14ac:dyDescent="0.3">
      <c r="B81">
        <v>76</v>
      </c>
      <c r="C81" s="1">
        <v>1.008</v>
      </c>
      <c r="D81" s="1">
        <f t="shared" si="2"/>
        <v>0.96564705882352941</v>
      </c>
      <c r="E81" s="1"/>
      <c r="F81" s="1">
        <f t="shared" si="3"/>
        <v>4.2352941176470593E-2</v>
      </c>
    </row>
    <row r="82" spans="2:10" x14ac:dyDescent="0.3">
      <c r="B82">
        <v>77</v>
      </c>
      <c r="C82" s="1">
        <v>1.0189999999999999</v>
      </c>
      <c r="D82" s="1">
        <f t="shared" si="2"/>
        <v>0.97835294117647065</v>
      </c>
      <c r="E82" s="1"/>
      <c r="F82" s="1">
        <f t="shared" si="3"/>
        <v>4.0647058823529258E-2</v>
      </c>
    </row>
    <row r="83" spans="2:10" x14ac:dyDescent="0.3">
      <c r="B83">
        <v>78</v>
      </c>
      <c r="C83" s="1">
        <v>1.024</v>
      </c>
      <c r="D83" s="1">
        <f t="shared" si="2"/>
        <v>0.99105882352941188</v>
      </c>
      <c r="E83" s="1"/>
      <c r="F83" s="1">
        <f t="shared" si="3"/>
        <v>3.294117647058814E-2</v>
      </c>
    </row>
    <row r="84" spans="2:10" x14ac:dyDescent="0.3">
      <c r="B84">
        <v>79</v>
      </c>
      <c r="C84" s="1">
        <v>1.0409999999999999</v>
      </c>
      <c r="D84" s="1">
        <f t="shared" si="2"/>
        <v>1.0037647058823531</v>
      </c>
      <c r="E84" s="1"/>
      <c r="F84" s="1">
        <f t="shared" si="3"/>
        <v>3.7235294117646811E-2</v>
      </c>
    </row>
    <row r="85" spans="2:10" x14ac:dyDescent="0.3">
      <c r="B85">
        <v>80</v>
      </c>
      <c r="C85" s="1">
        <v>1.0569999999999999</v>
      </c>
      <c r="D85" s="1">
        <f t="shared" si="2"/>
        <v>1.0164705882352942</v>
      </c>
      <c r="E85" s="1"/>
      <c r="F85" s="1">
        <f t="shared" si="3"/>
        <v>4.0529411764705703E-2</v>
      </c>
      <c r="I85">
        <v>1.0569999999999999</v>
      </c>
      <c r="J85" t="s">
        <v>2</v>
      </c>
    </row>
    <row r="86" spans="2:10" x14ac:dyDescent="0.3">
      <c r="B86">
        <v>81</v>
      </c>
      <c r="C86" s="1">
        <v>1.0620000000000001</v>
      </c>
      <c r="D86" s="1">
        <f t="shared" si="2"/>
        <v>1.0291764705882354</v>
      </c>
      <c r="E86" s="1"/>
      <c r="F86" s="1">
        <f t="shared" si="3"/>
        <v>3.2823529411764696E-2</v>
      </c>
    </row>
    <row r="87" spans="2:10" x14ac:dyDescent="0.3">
      <c r="B87">
        <v>82</v>
      </c>
      <c r="C87" s="1">
        <v>1.0760000000000001</v>
      </c>
      <c r="D87" s="1">
        <f t="shared" si="2"/>
        <v>1.0418823529411767</v>
      </c>
      <c r="E87" s="1"/>
      <c r="F87" s="1">
        <f t="shared" si="3"/>
        <v>3.4117647058823364E-2</v>
      </c>
    </row>
    <row r="88" spans="2:10" x14ac:dyDescent="0.3">
      <c r="B88">
        <v>83</v>
      </c>
      <c r="C88" s="1">
        <v>1.091</v>
      </c>
      <c r="D88" s="1">
        <f t="shared" si="2"/>
        <v>1.0545882352941178</v>
      </c>
      <c r="E88" s="1"/>
      <c r="F88" s="1">
        <f t="shared" si="3"/>
        <v>3.6411764705882144E-2</v>
      </c>
    </row>
    <row r="89" spans="2:10" x14ac:dyDescent="0.3">
      <c r="B89">
        <v>84</v>
      </c>
      <c r="C89" s="1">
        <v>1.1000000000000001</v>
      </c>
      <c r="D89" s="1">
        <f t="shared" si="2"/>
        <v>1.0672941176470589</v>
      </c>
      <c r="E89" s="1"/>
      <c r="F89" s="1">
        <f t="shared" si="3"/>
        <v>3.270588235294114E-2</v>
      </c>
    </row>
    <row r="90" spans="2:10" x14ac:dyDescent="0.3">
      <c r="B90">
        <v>85</v>
      </c>
      <c r="C90" s="1">
        <v>1.1060000000000001</v>
      </c>
      <c r="D90" s="1">
        <f t="shared" si="2"/>
        <v>1.08</v>
      </c>
      <c r="E90" s="1"/>
      <c r="F90" s="1">
        <f t="shared" si="3"/>
        <v>2.6000000000000023E-2</v>
      </c>
    </row>
    <row r="91" spans="2:10" x14ac:dyDescent="0.3">
      <c r="B91">
        <v>86</v>
      </c>
      <c r="C91" s="1">
        <v>1.125</v>
      </c>
      <c r="D91" s="1">
        <f t="shared" si="2"/>
        <v>1.0927058823529414</v>
      </c>
      <c r="E91" s="1"/>
      <c r="F91" s="1">
        <f t="shared" si="3"/>
        <v>3.2294117647058584E-2</v>
      </c>
    </row>
    <row r="92" spans="2:10" x14ac:dyDescent="0.3">
      <c r="B92">
        <v>87</v>
      </c>
      <c r="C92" s="1">
        <v>1.1379999999999999</v>
      </c>
      <c r="D92" s="1">
        <f t="shared" si="2"/>
        <v>1.1054117647058825</v>
      </c>
      <c r="E92" s="1"/>
      <c r="F92" s="1">
        <f t="shared" si="3"/>
        <v>3.2588235294117363E-2</v>
      </c>
    </row>
    <row r="93" spans="2:10" x14ac:dyDescent="0.3">
      <c r="B93">
        <v>88</v>
      </c>
      <c r="C93" s="1">
        <v>1.1419999999999999</v>
      </c>
      <c r="D93" s="1">
        <f t="shared" si="2"/>
        <v>1.1181176470588237</v>
      </c>
      <c r="E93" s="1"/>
      <c r="F93" s="1">
        <f t="shared" si="3"/>
        <v>2.3882352941176244E-2</v>
      </c>
    </row>
    <row r="94" spans="2:10" x14ac:dyDescent="0.3">
      <c r="B94">
        <v>89</v>
      </c>
      <c r="C94" s="1">
        <v>1.153</v>
      </c>
      <c r="D94" s="1">
        <f t="shared" si="2"/>
        <v>1.1308235294117648</v>
      </c>
      <c r="E94" s="1"/>
      <c r="F94" s="1">
        <f t="shared" si="3"/>
        <v>2.2176470588235242E-2</v>
      </c>
    </row>
    <row r="95" spans="2:10" x14ac:dyDescent="0.3">
      <c r="B95">
        <v>90</v>
      </c>
      <c r="C95" s="1">
        <v>1.173</v>
      </c>
      <c r="D95" s="1">
        <f t="shared" si="2"/>
        <v>1.1435294117647061</v>
      </c>
      <c r="E95" s="1"/>
      <c r="F95" s="1">
        <f t="shared" si="3"/>
        <v>2.9470588235293915E-2</v>
      </c>
      <c r="I95">
        <v>1.173</v>
      </c>
      <c r="J95">
        <v>1.1499999999999999</v>
      </c>
    </row>
    <row r="96" spans="2:10" x14ac:dyDescent="0.3">
      <c r="B96">
        <v>91</v>
      </c>
      <c r="C96" s="1">
        <v>1.18</v>
      </c>
      <c r="D96" s="1">
        <f t="shared" si="2"/>
        <v>1.1562352941176472</v>
      </c>
      <c r="E96" s="1"/>
      <c r="F96" s="1">
        <f t="shared" si="3"/>
        <v>2.3764705882352688E-2</v>
      </c>
    </row>
    <row r="97" spans="2:10" x14ac:dyDescent="0.3">
      <c r="B97">
        <v>92</v>
      </c>
      <c r="C97" s="1">
        <v>1.1879999999999999</v>
      </c>
      <c r="D97" s="1">
        <f t="shared" si="2"/>
        <v>1.1689411764705884</v>
      </c>
      <c r="E97" s="1"/>
      <c r="F97" s="1">
        <f t="shared" si="3"/>
        <v>1.9058823529411573E-2</v>
      </c>
    </row>
    <row r="98" spans="2:10" x14ac:dyDescent="0.3">
      <c r="B98">
        <v>93</v>
      </c>
      <c r="C98" s="1">
        <v>1.214</v>
      </c>
      <c r="D98" s="1">
        <f t="shared" si="2"/>
        <v>1.1816470588235295</v>
      </c>
      <c r="E98" s="1"/>
      <c r="F98" s="1">
        <f t="shared" si="3"/>
        <v>3.2352941176470473E-2</v>
      </c>
    </row>
    <row r="99" spans="2:10" x14ac:dyDescent="0.3">
      <c r="B99">
        <v>94</v>
      </c>
      <c r="C99" s="1">
        <v>1.2350000000000001</v>
      </c>
      <c r="D99" s="1">
        <f t="shared" si="2"/>
        <v>1.1943529411764708</v>
      </c>
      <c r="E99" s="1"/>
      <c r="F99" s="1">
        <f t="shared" si="3"/>
        <v>4.0647058823529258E-2</v>
      </c>
    </row>
    <row r="100" spans="2:10" x14ac:dyDescent="0.3">
      <c r="B100">
        <v>95</v>
      </c>
      <c r="C100" s="1">
        <v>1.2410000000000001</v>
      </c>
      <c r="D100" s="1">
        <f t="shared" si="2"/>
        <v>1.207058823529412</v>
      </c>
      <c r="E100" s="1"/>
      <c r="F100" s="1">
        <f t="shared" si="3"/>
        <v>3.3941176470588141E-2</v>
      </c>
    </row>
    <row r="101" spans="2:10" x14ac:dyDescent="0.3">
      <c r="B101">
        <v>96</v>
      </c>
      <c r="C101" s="1">
        <v>1.252</v>
      </c>
      <c r="D101" s="1">
        <f t="shared" si="2"/>
        <v>1.2197647058823531</v>
      </c>
      <c r="E101" s="1"/>
      <c r="F101" s="1">
        <f t="shared" si="3"/>
        <v>3.2235294117646918E-2</v>
      </c>
    </row>
    <row r="102" spans="2:10" x14ac:dyDescent="0.3">
      <c r="B102">
        <v>97</v>
      </c>
      <c r="C102" s="1">
        <v>1.272</v>
      </c>
      <c r="D102" s="1">
        <f t="shared" si="2"/>
        <v>1.2324705882352942</v>
      </c>
      <c r="E102" s="1"/>
      <c r="F102" s="1">
        <f t="shared" si="3"/>
        <v>3.9529411764705813E-2</v>
      </c>
    </row>
    <row r="103" spans="2:10" x14ac:dyDescent="0.3">
      <c r="B103">
        <v>98</v>
      </c>
      <c r="C103" s="1">
        <v>1.2789999999999999</v>
      </c>
      <c r="D103" s="1">
        <f t="shared" si="2"/>
        <v>1.2451764705882356</v>
      </c>
      <c r="E103" s="1"/>
      <c r="F103" s="1">
        <f t="shared" si="3"/>
        <v>3.3823529411764364E-2</v>
      </c>
    </row>
    <row r="104" spans="2:10" x14ac:dyDescent="0.3">
      <c r="B104">
        <v>99</v>
      </c>
      <c r="C104" s="1">
        <v>1.286</v>
      </c>
      <c r="D104" s="1">
        <f t="shared" si="2"/>
        <v>1.2578823529411767</v>
      </c>
      <c r="E104" s="1"/>
      <c r="F104" s="1">
        <f t="shared" si="3"/>
        <v>2.8117647058823358E-2</v>
      </c>
    </row>
    <row r="105" spans="2:10" x14ac:dyDescent="0.3">
      <c r="B105">
        <v>100</v>
      </c>
      <c r="C105" s="1">
        <v>1.3</v>
      </c>
      <c r="D105" s="1">
        <f t="shared" si="2"/>
        <v>1.2705882352941178</v>
      </c>
      <c r="E105" s="1"/>
      <c r="F105" s="1">
        <f t="shared" si="3"/>
        <v>2.9411764705882248E-2</v>
      </c>
      <c r="I105">
        <v>1.3</v>
      </c>
      <c r="J105">
        <v>1.284</v>
      </c>
    </row>
    <row r="106" spans="2:10" x14ac:dyDescent="0.3">
      <c r="B106">
        <v>101</v>
      </c>
      <c r="C106" s="1">
        <v>1.3160000000000001</v>
      </c>
      <c r="D106" s="1">
        <f t="shared" si="2"/>
        <v>1.2832941176470589</v>
      </c>
      <c r="E106" s="1"/>
      <c r="F106" s="1">
        <f t="shared" si="3"/>
        <v>3.270588235294114E-2</v>
      </c>
    </row>
    <row r="107" spans="2:10" x14ac:dyDescent="0.3">
      <c r="B107">
        <v>102</v>
      </c>
      <c r="C107" s="1">
        <v>1.321</v>
      </c>
      <c r="D107" s="1">
        <f t="shared" si="2"/>
        <v>1.2960000000000003</v>
      </c>
      <c r="E107" s="1"/>
      <c r="F107" s="1">
        <f t="shared" si="3"/>
        <v>2.4999999999999689E-2</v>
      </c>
    </row>
    <row r="108" spans="2:10" x14ac:dyDescent="0.3">
      <c r="B108">
        <v>103</v>
      </c>
      <c r="C108" s="1">
        <v>1.3280000000000001</v>
      </c>
      <c r="D108" s="1">
        <f t="shared" si="2"/>
        <v>1.3087058823529414</v>
      </c>
      <c r="E108" s="1"/>
      <c r="F108" s="1">
        <f t="shared" si="3"/>
        <v>1.9294117647058684E-2</v>
      </c>
    </row>
    <row r="109" spans="2:10" x14ac:dyDescent="0.3">
      <c r="B109">
        <v>104</v>
      </c>
      <c r="C109" s="1">
        <v>1.3480000000000001</v>
      </c>
      <c r="D109" s="1">
        <f t="shared" si="2"/>
        <v>1.3214117647058825</v>
      </c>
      <c r="E109" s="1"/>
      <c r="F109" s="1">
        <f t="shared" si="3"/>
        <v>2.6588235294117579E-2</v>
      </c>
    </row>
    <row r="110" spans="2:10" x14ac:dyDescent="0.3">
      <c r="B110">
        <v>105</v>
      </c>
      <c r="C110" s="1">
        <v>1.359</v>
      </c>
      <c r="D110" s="1">
        <f t="shared" si="2"/>
        <v>1.3341176470588236</v>
      </c>
      <c r="E110" s="1"/>
      <c r="F110" s="1">
        <f t="shared" si="3"/>
        <v>2.4882352941176356E-2</v>
      </c>
    </row>
    <row r="111" spans="2:10" x14ac:dyDescent="0.3">
      <c r="B111">
        <v>106</v>
      </c>
      <c r="C111" s="1">
        <v>1.3620000000000001</v>
      </c>
      <c r="D111" s="1">
        <f t="shared" si="2"/>
        <v>1.346823529411765</v>
      </c>
      <c r="E111" s="1"/>
      <c r="F111" s="1">
        <f t="shared" si="3"/>
        <v>1.5176470588235125E-2</v>
      </c>
    </row>
    <row r="112" spans="2:10" x14ac:dyDescent="0.3">
      <c r="B112">
        <v>107</v>
      </c>
      <c r="C112" s="1">
        <v>1.3740000000000001</v>
      </c>
      <c r="D112" s="1">
        <f t="shared" si="2"/>
        <v>1.3595294117647061</v>
      </c>
      <c r="E112" s="1"/>
      <c r="F112" s="1">
        <f t="shared" si="3"/>
        <v>1.4470588235294013E-2</v>
      </c>
    </row>
    <row r="113" spans="2:10" x14ac:dyDescent="0.3">
      <c r="B113">
        <v>108</v>
      </c>
      <c r="C113" s="1">
        <v>1.3919999999999999</v>
      </c>
      <c r="D113" s="1">
        <f t="shared" si="2"/>
        <v>1.3722352941176472</v>
      </c>
      <c r="E113" s="1"/>
      <c r="F113" s="1">
        <f t="shared" si="3"/>
        <v>1.9764705882352684E-2</v>
      </c>
    </row>
    <row r="114" spans="2:10" x14ac:dyDescent="0.3">
      <c r="B114">
        <v>109</v>
      </c>
      <c r="C114" s="1">
        <v>1.4</v>
      </c>
      <c r="D114" s="1">
        <f t="shared" si="2"/>
        <v>1.3849411764705883</v>
      </c>
      <c r="E114" s="1"/>
      <c r="F114" s="1">
        <f t="shared" si="3"/>
        <v>1.5058823529411569E-2</v>
      </c>
    </row>
    <row r="115" spans="2:10" x14ac:dyDescent="0.3">
      <c r="B115">
        <v>110</v>
      </c>
      <c r="C115" s="1">
        <v>1.4079999999999999</v>
      </c>
      <c r="D115" s="1">
        <f t="shared" si="2"/>
        <v>1.3976470588235295</v>
      </c>
      <c r="E115" s="1"/>
      <c r="F115" s="1">
        <f t="shared" si="3"/>
        <v>1.0352941176470454E-2</v>
      </c>
      <c r="I115">
        <v>1.409</v>
      </c>
      <c r="J115">
        <v>1.401</v>
      </c>
    </row>
    <row r="116" spans="2:10" x14ac:dyDescent="0.3">
      <c r="B116">
        <v>111</v>
      </c>
      <c r="C116" s="1">
        <v>1.4239999999999999</v>
      </c>
      <c r="D116" s="1">
        <f t="shared" si="2"/>
        <v>1.4103529411764708</v>
      </c>
      <c r="E116" s="1"/>
      <c r="F116" s="1">
        <f t="shared" si="3"/>
        <v>1.3647058823529123E-2</v>
      </c>
    </row>
    <row r="117" spans="2:10" x14ac:dyDescent="0.3">
      <c r="B117">
        <v>112</v>
      </c>
      <c r="C117" s="1">
        <v>1.4379999999999999</v>
      </c>
      <c r="D117" s="1">
        <f t="shared" si="2"/>
        <v>1.4230588235294119</v>
      </c>
      <c r="E117" s="1"/>
      <c r="F117" s="1">
        <f t="shared" si="3"/>
        <v>1.4941176470588013E-2</v>
      </c>
    </row>
    <row r="118" spans="2:10" x14ac:dyDescent="0.3">
      <c r="B118">
        <v>113</v>
      </c>
      <c r="C118" s="1">
        <v>1.444</v>
      </c>
      <c r="D118" s="1">
        <f t="shared" si="2"/>
        <v>1.4357647058823531</v>
      </c>
      <c r="E118" s="1"/>
      <c r="F118" s="1">
        <f t="shared" si="3"/>
        <v>8.2352941176468963E-3</v>
      </c>
    </row>
    <row r="119" spans="2:10" x14ac:dyDescent="0.3">
      <c r="B119">
        <v>114</v>
      </c>
      <c r="C119" s="1">
        <v>1.4590000000000001</v>
      </c>
      <c r="D119" s="1">
        <f t="shared" si="2"/>
        <v>1.4484705882352942</v>
      </c>
      <c r="E119" s="1"/>
      <c r="F119" s="1">
        <f t="shared" si="3"/>
        <v>1.0529411764705898E-2</v>
      </c>
    </row>
    <row r="120" spans="2:10" x14ac:dyDescent="0.3">
      <c r="B120">
        <v>115</v>
      </c>
      <c r="C120" s="1">
        <v>1.4770000000000001</v>
      </c>
      <c r="D120" s="1">
        <f t="shared" si="2"/>
        <v>1.4611764705882355</v>
      </c>
      <c r="E120" s="1"/>
      <c r="F120" s="1">
        <f t="shared" si="3"/>
        <v>1.582352941176457E-2</v>
      </c>
    </row>
    <row r="121" spans="2:10" x14ac:dyDescent="0.3">
      <c r="B121">
        <v>116</v>
      </c>
      <c r="C121" s="1">
        <v>1.48</v>
      </c>
      <c r="D121" s="1">
        <f t="shared" si="2"/>
        <v>1.4738823529411766</v>
      </c>
      <c r="E121" s="1"/>
      <c r="F121" s="1">
        <f t="shared" si="3"/>
        <v>6.1176470588233389E-3</v>
      </c>
    </row>
    <row r="122" spans="2:10" x14ac:dyDescent="0.3">
      <c r="B122">
        <v>117</v>
      </c>
      <c r="C122" s="1">
        <v>1.488</v>
      </c>
      <c r="D122" s="1">
        <f t="shared" si="2"/>
        <v>1.4865882352941178</v>
      </c>
      <c r="E122" s="1"/>
      <c r="F122" s="1">
        <f t="shared" si="3"/>
        <v>1.4117647058822236E-3</v>
      </c>
    </row>
    <row r="123" spans="2:10" x14ac:dyDescent="0.3">
      <c r="B123">
        <v>118</v>
      </c>
      <c r="C123" s="1">
        <v>1.5029999999999999</v>
      </c>
      <c r="D123" s="1">
        <f t="shared" si="2"/>
        <v>1.4992941176470589</v>
      </c>
      <c r="E123" s="1"/>
      <c r="F123" s="1">
        <f t="shared" si="3"/>
        <v>3.7058823529410034E-3</v>
      </c>
    </row>
    <row r="124" spans="2:10" x14ac:dyDescent="0.3">
      <c r="B124">
        <v>119</v>
      </c>
      <c r="C124" s="1">
        <v>1.5169999999999999</v>
      </c>
      <c r="D124" s="1">
        <f t="shared" si="2"/>
        <v>1.5120000000000002</v>
      </c>
      <c r="E124" s="1"/>
      <c r="F124" s="1">
        <f t="shared" si="3"/>
        <v>4.9999999999996714E-3</v>
      </c>
    </row>
    <row r="125" spans="2:10" x14ac:dyDescent="0.3">
      <c r="B125">
        <v>120</v>
      </c>
      <c r="C125" s="1">
        <v>1.522</v>
      </c>
      <c r="D125" s="1">
        <f t="shared" si="2"/>
        <v>1.5247058823529414</v>
      </c>
      <c r="E125" s="1"/>
      <c r="F125" s="1">
        <f t="shared" si="3"/>
        <v>-2.7058823529413356E-3</v>
      </c>
      <c r="I125">
        <v>1.522</v>
      </c>
      <c r="J125">
        <v>1.5580000000000001</v>
      </c>
    </row>
    <row r="126" spans="2:10" x14ac:dyDescent="0.3">
      <c r="B126">
        <v>121</v>
      </c>
      <c r="C126" s="1">
        <v>1.5329999999999999</v>
      </c>
      <c r="D126" s="1">
        <f t="shared" si="2"/>
        <v>1.5374117647058825</v>
      </c>
      <c r="E126" s="1"/>
      <c r="F126" s="1">
        <f t="shared" si="3"/>
        <v>-4.4117647058825593E-3</v>
      </c>
    </row>
    <row r="127" spans="2:10" x14ac:dyDescent="0.3">
      <c r="B127">
        <v>122</v>
      </c>
      <c r="C127" s="1">
        <v>1.552</v>
      </c>
      <c r="D127" s="1">
        <f t="shared" si="2"/>
        <v>1.5501176470588236</v>
      </c>
      <c r="E127" s="1"/>
      <c r="F127" s="1">
        <f t="shared" si="3"/>
        <v>1.8823529411764461E-3</v>
      </c>
    </row>
    <row r="128" spans="2:10" x14ac:dyDescent="0.3">
      <c r="B128">
        <v>123</v>
      </c>
      <c r="C128" s="1">
        <v>1.56</v>
      </c>
      <c r="D128" s="1">
        <f t="shared" si="2"/>
        <v>1.5628235294117647</v>
      </c>
      <c r="E128" s="1"/>
      <c r="F128" s="1">
        <f t="shared" si="3"/>
        <v>-2.8235294117646692E-3</v>
      </c>
    </row>
    <row r="129" spans="2:10" x14ac:dyDescent="0.3">
      <c r="B129">
        <v>124</v>
      </c>
      <c r="C129" s="1">
        <v>1.5649999999999999</v>
      </c>
      <c r="D129" s="1">
        <f t="shared" si="2"/>
        <v>1.5755294117647061</v>
      </c>
      <c r="E129" s="1"/>
      <c r="F129" s="1">
        <f t="shared" si="3"/>
        <v>-1.052941176470612E-2</v>
      </c>
    </row>
    <row r="130" spans="2:10" x14ac:dyDescent="0.3">
      <c r="B130">
        <v>125</v>
      </c>
      <c r="C130" s="1">
        <v>1.58</v>
      </c>
      <c r="D130" s="1">
        <f t="shared" si="2"/>
        <v>1.5882352941176472</v>
      </c>
      <c r="E130" s="1"/>
      <c r="F130" s="1">
        <f t="shared" si="3"/>
        <v>-8.2352941176471184E-3</v>
      </c>
    </row>
    <row r="131" spans="2:10" x14ac:dyDescent="0.3">
      <c r="B131">
        <v>126</v>
      </c>
      <c r="C131" s="1">
        <v>1.5980000000000001</v>
      </c>
      <c r="D131" s="1">
        <f t="shared" si="2"/>
        <v>1.6009411764705883</v>
      </c>
      <c r="E131" s="1"/>
      <c r="F131" s="1">
        <f t="shared" si="3"/>
        <v>-2.9411764705882248E-3</v>
      </c>
    </row>
    <row r="132" spans="2:10" x14ac:dyDescent="0.3">
      <c r="B132">
        <v>127</v>
      </c>
      <c r="C132" s="1">
        <v>1.6040000000000001</v>
      </c>
      <c r="D132" s="1">
        <f t="shared" si="2"/>
        <v>1.6136470588235294</v>
      </c>
      <c r="E132" s="1"/>
      <c r="F132" s="1">
        <f t="shared" si="3"/>
        <v>-9.647058823529342E-3</v>
      </c>
    </row>
    <row r="133" spans="2:10" x14ac:dyDescent="0.3">
      <c r="B133">
        <v>128</v>
      </c>
      <c r="C133" s="1">
        <v>1.667</v>
      </c>
      <c r="D133" s="1">
        <f t="shared" si="2"/>
        <v>1.6263529411764708</v>
      </c>
      <c r="E133" s="1"/>
      <c r="F133" s="1">
        <f t="shared" si="3"/>
        <v>4.0647058823529258E-2</v>
      </c>
    </row>
    <row r="134" spans="2:10" x14ac:dyDescent="0.3">
      <c r="B134">
        <v>129</v>
      </c>
      <c r="C134" s="1">
        <v>1.6850000000000001</v>
      </c>
      <c r="D134" s="1">
        <f t="shared" ref="D134:D197" si="4">(B134/255)*$C$2</f>
        <v>1.6390588235294119</v>
      </c>
      <c r="E134" s="1"/>
      <c r="F134" s="1">
        <f t="shared" ref="F134:F197" si="5">C134-D134</f>
        <v>4.5941176470588152E-2</v>
      </c>
    </row>
    <row r="135" spans="2:10" x14ac:dyDescent="0.3">
      <c r="B135">
        <v>130</v>
      </c>
      <c r="C135" s="1">
        <v>1.696</v>
      </c>
      <c r="D135" s="1">
        <f t="shared" si="4"/>
        <v>1.651764705882353</v>
      </c>
      <c r="E135" s="1"/>
      <c r="F135" s="1">
        <f t="shared" si="5"/>
        <v>4.4235294117646928E-2</v>
      </c>
      <c r="I135">
        <v>1.7</v>
      </c>
      <c r="J135">
        <v>1.7030000000000001</v>
      </c>
    </row>
    <row r="136" spans="2:10" x14ac:dyDescent="0.3">
      <c r="B136">
        <v>131</v>
      </c>
      <c r="C136" s="1">
        <v>1.702</v>
      </c>
      <c r="D136" s="1">
        <f t="shared" si="4"/>
        <v>1.6644705882352941</v>
      </c>
      <c r="E136" s="1"/>
      <c r="F136" s="1">
        <f t="shared" si="5"/>
        <v>3.7529411764705811E-2</v>
      </c>
    </row>
    <row r="137" spans="2:10" x14ac:dyDescent="0.3">
      <c r="B137">
        <v>132</v>
      </c>
      <c r="C137" s="1">
        <v>1.7150000000000001</v>
      </c>
      <c r="D137" s="1">
        <f t="shared" si="4"/>
        <v>1.6771764705882355</v>
      </c>
      <c r="E137" s="1"/>
      <c r="F137" s="1">
        <f t="shared" si="5"/>
        <v>3.7823529411764589E-2</v>
      </c>
    </row>
    <row r="138" spans="2:10" x14ac:dyDescent="0.3">
      <c r="B138">
        <v>133</v>
      </c>
      <c r="C138" s="1">
        <v>1.7330000000000001</v>
      </c>
      <c r="D138" s="1">
        <f t="shared" si="4"/>
        <v>1.6898823529411766</v>
      </c>
      <c r="E138" s="1"/>
      <c r="F138" s="1">
        <f t="shared" si="5"/>
        <v>4.3117647058823483E-2</v>
      </c>
    </row>
    <row r="139" spans="2:10" x14ac:dyDescent="0.3">
      <c r="B139">
        <v>134</v>
      </c>
      <c r="C139" s="1">
        <v>1.74</v>
      </c>
      <c r="D139" s="1">
        <f t="shared" si="4"/>
        <v>1.7025882352941177</v>
      </c>
      <c r="E139" s="1"/>
      <c r="F139" s="1">
        <f t="shared" si="5"/>
        <v>3.7411764705882256E-2</v>
      </c>
    </row>
    <row r="140" spans="2:10" x14ac:dyDescent="0.3">
      <c r="B140">
        <v>135</v>
      </c>
      <c r="C140" s="1">
        <v>1.748</v>
      </c>
      <c r="D140" s="1">
        <f t="shared" si="4"/>
        <v>1.7152941176470589</v>
      </c>
      <c r="E140" s="1"/>
      <c r="F140" s="1">
        <f t="shared" si="5"/>
        <v>3.270588235294114E-2</v>
      </c>
    </row>
    <row r="141" spans="2:10" x14ac:dyDescent="0.3">
      <c r="B141">
        <v>136</v>
      </c>
      <c r="C141" s="1">
        <v>1.77</v>
      </c>
      <c r="D141" s="1">
        <f t="shared" si="4"/>
        <v>1.728</v>
      </c>
      <c r="E141" s="1"/>
      <c r="F141" s="1">
        <f t="shared" si="5"/>
        <v>4.2000000000000037E-2</v>
      </c>
    </row>
    <row r="142" spans="2:10" x14ac:dyDescent="0.3">
      <c r="B142">
        <v>137</v>
      </c>
      <c r="C142" s="1">
        <v>1.7789999999999999</v>
      </c>
      <c r="D142" s="1">
        <f t="shared" si="4"/>
        <v>1.7407058823529413</v>
      </c>
      <c r="E142" s="1"/>
      <c r="F142" s="1">
        <f t="shared" si="5"/>
        <v>3.829411764705859E-2</v>
      </c>
    </row>
    <row r="143" spans="2:10" x14ac:dyDescent="0.3">
      <c r="B143">
        <v>138</v>
      </c>
      <c r="C143" s="1">
        <v>1.7829999999999999</v>
      </c>
      <c r="D143" s="1">
        <f t="shared" si="4"/>
        <v>1.7534117647058824</v>
      </c>
      <c r="E143" s="1"/>
      <c r="F143" s="1">
        <f t="shared" si="5"/>
        <v>2.9588235294117471E-2</v>
      </c>
    </row>
    <row r="144" spans="2:10" x14ac:dyDescent="0.3">
      <c r="B144">
        <v>139</v>
      </c>
      <c r="C144" s="1">
        <v>1.8</v>
      </c>
      <c r="D144" s="1">
        <f t="shared" si="4"/>
        <v>1.7661176470588236</v>
      </c>
      <c r="E144" s="1"/>
      <c r="F144" s="1">
        <f t="shared" si="5"/>
        <v>3.3882352941176475E-2</v>
      </c>
    </row>
    <row r="145" spans="2:10" x14ac:dyDescent="0.3">
      <c r="B145">
        <v>140</v>
      </c>
      <c r="C145" s="1">
        <v>1.8160000000000001</v>
      </c>
      <c r="D145" s="1">
        <f t="shared" si="4"/>
        <v>1.7788235294117649</v>
      </c>
      <c r="E145" s="1"/>
      <c r="F145" s="1">
        <f t="shared" si="5"/>
        <v>3.7176470588235144E-2</v>
      </c>
      <c r="I145">
        <v>1.8160000000000001</v>
      </c>
      <c r="J145">
        <v>1.82</v>
      </c>
    </row>
    <row r="146" spans="2:10" x14ac:dyDescent="0.3">
      <c r="B146">
        <v>141</v>
      </c>
      <c r="C146" s="1">
        <v>1.821</v>
      </c>
      <c r="D146" s="1">
        <f t="shared" si="4"/>
        <v>1.791529411764706</v>
      </c>
      <c r="E146" s="1"/>
      <c r="F146" s="1">
        <f t="shared" si="5"/>
        <v>2.9470588235293915E-2</v>
      </c>
    </row>
    <row r="147" spans="2:10" x14ac:dyDescent="0.3">
      <c r="B147">
        <v>142</v>
      </c>
      <c r="C147" s="1">
        <v>1.829</v>
      </c>
      <c r="D147" s="1">
        <f t="shared" si="4"/>
        <v>1.8042352941176472</v>
      </c>
      <c r="E147" s="1"/>
      <c r="F147" s="1">
        <f t="shared" si="5"/>
        <v>2.47647058823528E-2</v>
      </c>
    </row>
    <row r="148" spans="2:10" x14ac:dyDescent="0.3">
      <c r="B148">
        <v>143</v>
      </c>
      <c r="C148" s="1">
        <v>1.8480000000000001</v>
      </c>
      <c r="D148" s="1">
        <f t="shared" si="4"/>
        <v>1.8169411764705883</v>
      </c>
      <c r="E148" s="1"/>
      <c r="F148" s="1">
        <f t="shared" si="5"/>
        <v>3.1058823529411805E-2</v>
      </c>
    </row>
    <row r="149" spans="2:10" x14ac:dyDescent="0.3">
      <c r="B149">
        <v>144</v>
      </c>
      <c r="C149" s="1">
        <v>1.8580000000000001</v>
      </c>
      <c r="D149" s="1">
        <f t="shared" si="4"/>
        <v>1.8296470588235294</v>
      </c>
      <c r="E149" s="1"/>
      <c r="F149" s="1">
        <f t="shared" si="5"/>
        <v>2.8352941176470692E-2</v>
      </c>
    </row>
    <row r="150" spans="2:10" x14ac:dyDescent="0.3">
      <c r="B150">
        <v>145</v>
      </c>
      <c r="C150" s="1">
        <v>1.8620000000000001</v>
      </c>
      <c r="D150" s="1">
        <f t="shared" si="4"/>
        <v>1.8423529411764707</v>
      </c>
      <c r="E150" s="1"/>
      <c r="F150" s="1">
        <f t="shared" si="5"/>
        <v>1.9647058823529351E-2</v>
      </c>
    </row>
    <row r="151" spans="2:10" x14ac:dyDescent="0.3">
      <c r="B151">
        <v>146</v>
      </c>
      <c r="C151" s="1">
        <v>1.88</v>
      </c>
      <c r="D151" s="1">
        <f t="shared" si="4"/>
        <v>1.8550588235294119</v>
      </c>
      <c r="E151" s="1"/>
      <c r="F151" s="1">
        <f t="shared" si="5"/>
        <v>2.4941176470588022E-2</v>
      </c>
    </row>
    <row r="152" spans="2:10" x14ac:dyDescent="0.3">
      <c r="B152">
        <v>147</v>
      </c>
      <c r="C152" s="1">
        <v>1.895</v>
      </c>
      <c r="D152" s="1">
        <f t="shared" si="4"/>
        <v>1.867764705882353</v>
      </c>
      <c r="E152" s="1"/>
      <c r="F152" s="1">
        <f t="shared" si="5"/>
        <v>2.7235294117647024E-2</v>
      </c>
    </row>
    <row r="153" spans="2:10" x14ac:dyDescent="0.3">
      <c r="B153">
        <v>148</v>
      </c>
      <c r="C153" s="1">
        <v>1.9</v>
      </c>
      <c r="D153" s="1">
        <f t="shared" si="4"/>
        <v>1.8804705882352943</v>
      </c>
      <c r="E153" s="1"/>
      <c r="F153" s="1">
        <f t="shared" si="5"/>
        <v>1.9529411764705573E-2</v>
      </c>
    </row>
    <row r="154" spans="2:10" x14ac:dyDescent="0.3">
      <c r="B154">
        <v>149</v>
      </c>
      <c r="C154" s="1">
        <v>1.909</v>
      </c>
      <c r="D154" s="1">
        <f t="shared" si="4"/>
        <v>1.8931764705882355</v>
      </c>
      <c r="E154" s="1"/>
      <c r="F154" s="1">
        <f t="shared" si="5"/>
        <v>1.582352941176457E-2</v>
      </c>
    </row>
    <row r="155" spans="2:10" x14ac:dyDescent="0.3">
      <c r="B155">
        <v>150</v>
      </c>
      <c r="C155" s="1">
        <v>1.927</v>
      </c>
      <c r="D155" s="1">
        <f t="shared" si="4"/>
        <v>1.9058823529411766</v>
      </c>
      <c r="E155" s="1"/>
      <c r="F155" s="1">
        <f t="shared" si="5"/>
        <v>2.1117647058823463E-2</v>
      </c>
      <c r="I155">
        <v>1.92</v>
      </c>
      <c r="J155">
        <v>1.9410000000000001</v>
      </c>
    </row>
    <row r="156" spans="2:10" x14ac:dyDescent="0.3">
      <c r="B156">
        <v>151</v>
      </c>
      <c r="C156" s="1">
        <v>1.9490000000000001</v>
      </c>
      <c r="D156" s="1">
        <f t="shared" si="4"/>
        <v>1.9185882352941177</v>
      </c>
      <c r="E156" s="1"/>
      <c r="F156" s="1">
        <f t="shared" si="5"/>
        <v>3.041176470588236E-2</v>
      </c>
    </row>
    <row r="157" spans="2:10" x14ac:dyDescent="0.3">
      <c r="B157">
        <v>152</v>
      </c>
      <c r="C157" s="1">
        <v>1.9590000000000001</v>
      </c>
      <c r="D157" s="1">
        <f t="shared" si="4"/>
        <v>1.9312941176470588</v>
      </c>
      <c r="E157" s="1"/>
      <c r="F157" s="1">
        <f t="shared" si="5"/>
        <v>2.7705882352941247E-2</v>
      </c>
    </row>
    <row r="158" spans="2:10" x14ac:dyDescent="0.3">
      <c r="B158">
        <v>153</v>
      </c>
      <c r="C158" s="1">
        <v>1.9590000000000001</v>
      </c>
      <c r="D158" s="1">
        <f t="shared" si="4"/>
        <v>1.944</v>
      </c>
      <c r="E158" s="1"/>
      <c r="F158" s="1">
        <f t="shared" si="5"/>
        <v>1.5000000000000124E-2</v>
      </c>
    </row>
    <row r="159" spans="2:10" x14ac:dyDescent="0.3">
      <c r="B159">
        <v>154</v>
      </c>
      <c r="C159" s="1">
        <v>1.9610000000000001</v>
      </c>
      <c r="D159" s="1">
        <f t="shared" si="4"/>
        <v>1.9567058823529413</v>
      </c>
      <c r="E159" s="1"/>
      <c r="F159" s="1">
        <f t="shared" si="5"/>
        <v>4.2941176470587816E-3</v>
      </c>
    </row>
    <row r="160" spans="2:10" x14ac:dyDescent="0.3">
      <c r="B160">
        <v>155</v>
      </c>
      <c r="C160" s="1">
        <v>1.9610000000000001</v>
      </c>
      <c r="D160" s="1">
        <f t="shared" si="4"/>
        <v>1.9694117647058824</v>
      </c>
      <c r="E160" s="1"/>
      <c r="F160" s="1">
        <f t="shared" si="5"/>
        <v>-8.4117647058823408E-3</v>
      </c>
    </row>
    <row r="161" spans="2:10" x14ac:dyDescent="0.3">
      <c r="B161">
        <v>156</v>
      </c>
      <c r="C161" s="1">
        <v>1.9630000000000001</v>
      </c>
      <c r="D161" s="1">
        <f t="shared" si="4"/>
        <v>1.9821176470588238</v>
      </c>
      <c r="E161" s="1"/>
      <c r="F161" s="1">
        <f t="shared" si="5"/>
        <v>-1.9117647058823684E-2</v>
      </c>
    </row>
    <row r="162" spans="2:10" x14ac:dyDescent="0.3">
      <c r="B162">
        <v>157</v>
      </c>
      <c r="C162" s="1">
        <v>1.984</v>
      </c>
      <c r="D162" s="1">
        <f t="shared" si="4"/>
        <v>1.9948235294117649</v>
      </c>
      <c r="E162" s="1"/>
      <c r="F162" s="1">
        <f t="shared" si="5"/>
        <v>-1.0823529411764898E-2</v>
      </c>
    </row>
    <row r="163" spans="2:10" x14ac:dyDescent="0.3">
      <c r="B163">
        <v>158</v>
      </c>
      <c r="C163" s="1">
        <v>2.0219999999999998</v>
      </c>
      <c r="D163" s="1">
        <f t="shared" si="4"/>
        <v>2.0075294117647062</v>
      </c>
      <c r="E163" s="1"/>
      <c r="F163" s="1">
        <f t="shared" si="5"/>
        <v>1.4470588235293569E-2</v>
      </c>
    </row>
    <row r="164" spans="2:10" x14ac:dyDescent="0.3">
      <c r="B164">
        <v>159</v>
      </c>
      <c r="C164" s="1">
        <v>2.0379999999999998</v>
      </c>
      <c r="D164" s="1">
        <f t="shared" si="4"/>
        <v>2.0202352941176471</v>
      </c>
      <c r="E164" s="1"/>
      <c r="F164" s="1">
        <f t="shared" si="5"/>
        <v>1.7764705882352683E-2</v>
      </c>
    </row>
    <row r="165" spans="2:10" x14ac:dyDescent="0.3">
      <c r="B165">
        <v>160</v>
      </c>
      <c r="C165" s="1">
        <v>2.04</v>
      </c>
      <c r="D165" s="1">
        <f t="shared" si="4"/>
        <v>2.0329411764705885</v>
      </c>
      <c r="E165" s="1"/>
      <c r="F165" s="1">
        <f t="shared" si="5"/>
        <v>7.058823529411562E-3</v>
      </c>
      <c r="I165">
        <v>2.04</v>
      </c>
      <c r="J165">
        <v>2.02</v>
      </c>
    </row>
    <row r="166" spans="2:10" x14ac:dyDescent="0.3">
      <c r="B166">
        <v>161</v>
      </c>
      <c r="C166" s="1">
        <v>2.04</v>
      </c>
      <c r="D166" s="1">
        <f t="shared" si="4"/>
        <v>2.0456470588235294</v>
      </c>
      <c r="E166" s="1"/>
      <c r="F166" s="1">
        <f t="shared" si="5"/>
        <v>-5.6470588235293384E-3</v>
      </c>
    </row>
    <row r="167" spans="2:10" x14ac:dyDescent="0.3">
      <c r="B167">
        <v>162</v>
      </c>
      <c r="C167" s="1">
        <v>2.0409999999999999</v>
      </c>
      <c r="D167" s="1">
        <f t="shared" si="4"/>
        <v>2.0583529411764707</v>
      </c>
      <c r="E167" s="1"/>
      <c r="F167" s="1">
        <f t="shared" si="5"/>
        <v>-1.7352941176470793E-2</v>
      </c>
    </row>
    <row r="168" spans="2:10" x14ac:dyDescent="0.3">
      <c r="B168">
        <v>163</v>
      </c>
      <c r="C168" s="1">
        <v>2.0529999999999999</v>
      </c>
      <c r="D168" s="1">
        <f t="shared" si="4"/>
        <v>2.0710588235294116</v>
      </c>
      <c r="E168" s="1"/>
      <c r="F168" s="1">
        <f t="shared" si="5"/>
        <v>-1.8058823529411683E-2</v>
      </c>
    </row>
    <row r="169" spans="2:10" x14ac:dyDescent="0.3">
      <c r="B169">
        <v>164</v>
      </c>
      <c r="C169" s="1">
        <v>2.0859999999999999</v>
      </c>
      <c r="D169" s="1">
        <f t="shared" si="4"/>
        <v>2.0837647058823534</v>
      </c>
      <c r="E169" s="1"/>
      <c r="F169" s="1">
        <f t="shared" si="5"/>
        <v>2.2352941176464469E-3</v>
      </c>
    </row>
    <row r="170" spans="2:10" x14ac:dyDescent="0.3">
      <c r="B170">
        <v>165</v>
      </c>
      <c r="C170" s="1">
        <v>2.1110000000000002</v>
      </c>
      <c r="D170" s="1">
        <f t="shared" si="4"/>
        <v>2.0964705882352943</v>
      </c>
      <c r="E170" s="1"/>
      <c r="F170" s="1">
        <f t="shared" si="5"/>
        <v>1.4529411764705902E-2</v>
      </c>
    </row>
    <row r="171" spans="2:10" x14ac:dyDescent="0.3">
      <c r="B171">
        <v>166</v>
      </c>
      <c r="C171" s="1">
        <v>2.12</v>
      </c>
      <c r="D171" s="1">
        <f t="shared" si="4"/>
        <v>2.1091764705882357</v>
      </c>
      <c r="E171" s="1"/>
      <c r="F171" s="1">
        <f t="shared" si="5"/>
        <v>1.0823529411764454E-2</v>
      </c>
    </row>
    <row r="172" spans="2:10" x14ac:dyDescent="0.3">
      <c r="B172">
        <v>167</v>
      </c>
      <c r="C172" s="1">
        <v>2.12</v>
      </c>
      <c r="D172" s="1">
        <f t="shared" si="4"/>
        <v>2.1218823529411766</v>
      </c>
      <c r="E172" s="1"/>
      <c r="F172" s="1">
        <f t="shared" si="5"/>
        <v>-1.8823529411764461E-3</v>
      </c>
    </row>
    <row r="173" spans="2:10" x14ac:dyDescent="0.3">
      <c r="B173">
        <v>168</v>
      </c>
      <c r="C173" s="1">
        <v>2.12</v>
      </c>
      <c r="D173" s="1">
        <f t="shared" si="4"/>
        <v>2.1345882352941179</v>
      </c>
      <c r="E173" s="1"/>
      <c r="F173" s="1">
        <f t="shared" si="5"/>
        <v>-1.4588235294117791E-2</v>
      </c>
    </row>
    <row r="174" spans="2:10" x14ac:dyDescent="0.3">
      <c r="B174">
        <v>169</v>
      </c>
      <c r="C174" s="1">
        <v>2.1230000000000002</v>
      </c>
      <c r="D174" s="1">
        <f t="shared" si="4"/>
        <v>2.1472941176470588</v>
      </c>
      <c r="E174" s="1"/>
      <c r="F174" s="1">
        <f t="shared" si="5"/>
        <v>-2.4294117647058577E-2</v>
      </c>
    </row>
    <row r="175" spans="2:10" x14ac:dyDescent="0.3">
      <c r="B175">
        <v>170</v>
      </c>
      <c r="C175" s="1">
        <v>2.1480000000000001</v>
      </c>
      <c r="D175" s="1">
        <f t="shared" si="4"/>
        <v>2.16</v>
      </c>
      <c r="E175" s="1"/>
      <c r="F175" s="1">
        <f t="shared" si="5"/>
        <v>-1.2000000000000011E-2</v>
      </c>
      <c r="I175">
        <v>2.125</v>
      </c>
      <c r="J175">
        <v>2.12</v>
      </c>
    </row>
    <row r="176" spans="2:10" x14ac:dyDescent="0.3">
      <c r="B176">
        <v>171</v>
      </c>
      <c r="C176" s="1">
        <v>2.2130000000000001</v>
      </c>
      <c r="D176" s="1">
        <f t="shared" si="4"/>
        <v>2.172705882352941</v>
      </c>
      <c r="E176" s="1"/>
      <c r="F176" s="1">
        <f t="shared" si="5"/>
        <v>4.0294117647059036E-2</v>
      </c>
    </row>
    <row r="177" spans="2:10" x14ac:dyDescent="0.3">
      <c r="B177">
        <v>172</v>
      </c>
      <c r="C177" s="1">
        <v>2.2370000000000001</v>
      </c>
      <c r="D177" s="1">
        <f t="shared" si="4"/>
        <v>2.1854117647058828</v>
      </c>
      <c r="E177" s="1"/>
      <c r="F177" s="1">
        <f t="shared" si="5"/>
        <v>5.1588235294117268E-2</v>
      </c>
    </row>
    <row r="178" spans="2:10" x14ac:dyDescent="0.3">
      <c r="B178">
        <v>173</v>
      </c>
      <c r="C178" s="1">
        <v>2.2400000000000002</v>
      </c>
      <c r="D178" s="1">
        <f t="shared" si="4"/>
        <v>2.1981176470588237</v>
      </c>
      <c r="E178" s="1"/>
      <c r="F178" s="1">
        <f t="shared" si="5"/>
        <v>4.1882352941176482E-2</v>
      </c>
    </row>
    <row r="179" spans="2:10" x14ac:dyDescent="0.3">
      <c r="B179">
        <v>174</v>
      </c>
      <c r="C179" s="1">
        <v>2.2400000000000002</v>
      </c>
      <c r="D179" s="1">
        <f t="shared" si="4"/>
        <v>2.2108235294117651</v>
      </c>
      <c r="E179" s="1"/>
      <c r="F179" s="1">
        <f t="shared" si="5"/>
        <v>2.9176470588235137E-2</v>
      </c>
    </row>
    <row r="180" spans="2:10" x14ac:dyDescent="0.3">
      <c r="B180">
        <v>175</v>
      </c>
      <c r="C180" s="1">
        <v>2.242</v>
      </c>
      <c r="D180" s="1">
        <f t="shared" si="4"/>
        <v>2.223529411764706</v>
      </c>
      <c r="E180" s="1"/>
      <c r="F180" s="1">
        <f t="shared" si="5"/>
        <v>1.8470588235294016E-2</v>
      </c>
    </row>
    <row r="181" spans="2:10" x14ac:dyDescent="0.3">
      <c r="B181">
        <v>176</v>
      </c>
      <c r="C181" s="1">
        <v>2.25</v>
      </c>
      <c r="D181" s="1">
        <f t="shared" si="4"/>
        <v>2.2362352941176473</v>
      </c>
      <c r="E181" s="1"/>
      <c r="F181" s="1">
        <f t="shared" si="5"/>
        <v>1.3764705882352679E-2</v>
      </c>
    </row>
    <row r="182" spans="2:10" x14ac:dyDescent="0.3">
      <c r="B182">
        <v>177</v>
      </c>
      <c r="C182" s="1">
        <v>2.2799999999999998</v>
      </c>
      <c r="D182" s="1">
        <f t="shared" si="4"/>
        <v>2.2489411764705882</v>
      </c>
      <c r="E182" s="1"/>
      <c r="F182" s="1">
        <f t="shared" si="5"/>
        <v>3.1058823529411583E-2</v>
      </c>
    </row>
    <row r="183" spans="2:10" x14ac:dyDescent="0.3">
      <c r="B183">
        <v>178</v>
      </c>
      <c r="C183" s="1">
        <v>2.3069999999999999</v>
      </c>
      <c r="D183" s="1">
        <f t="shared" si="4"/>
        <v>2.2616470588235296</v>
      </c>
      <c r="E183" s="1"/>
      <c r="F183" s="1">
        <f t="shared" si="5"/>
        <v>4.5352941176470374E-2</v>
      </c>
    </row>
    <row r="184" spans="2:10" x14ac:dyDescent="0.3">
      <c r="B184">
        <v>179</v>
      </c>
      <c r="C184" s="1">
        <v>2.319</v>
      </c>
      <c r="D184" s="1">
        <f t="shared" si="4"/>
        <v>2.2743529411764705</v>
      </c>
      <c r="E184" s="1"/>
      <c r="F184" s="1">
        <f t="shared" si="5"/>
        <v>4.4647058823529484E-2</v>
      </c>
    </row>
    <row r="185" spans="2:10" x14ac:dyDescent="0.3">
      <c r="B185">
        <v>180</v>
      </c>
      <c r="C185" s="1">
        <v>2.3199999999999998</v>
      </c>
      <c r="D185" s="1">
        <f t="shared" si="4"/>
        <v>2.2870588235294123</v>
      </c>
      <c r="E185" s="1"/>
      <c r="F185" s="1">
        <f t="shared" si="5"/>
        <v>3.2941176470587585E-2</v>
      </c>
      <c r="I185">
        <v>2.3180000000000001</v>
      </c>
      <c r="J185">
        <v>2.27</v>
      </c>
    </row>
    <row r="186" spans="2:10" x14ac:dyDescent="0.3">
      <c r="B186">
        <v>181</v>
      </c>
      <c r="C186" s="1">
        <v>2.3199999999999998</v>
      </c>
      <c r="D186" s="1">
        <f t="shared" si="4"/>
        <v>2.2997647058823532</v>
      </c>
      <c r="E186" s="1"/>
      <c r="F186" s="1">
        <f t="shared" si="5"/>
        <v>2.0235294117646685E-2</v>
      </c>
    </row>
    <row r="187" spans="2:10" x14ac:dyDescent="0.3">
      <c r="B187">
        <v>182</v>
      </c>
      <c r="C187" s="1">
        <v>2.2320000000000002</v>
      </c>
      <c r="D187" s="1">
        <f t="shared" si="4"/>
        <v>2.3124705882352945</v>
      </c>
      <c r="E187" s="1"/>
      <c r="F187" s="1">
        <f t="shared" si="5"/>
        <v>-8.0470588235294294E-2</v>
      </c>
    </row>
    <row r="188" spans="2:10" x14ac:dyDescent="0.3">
      <c r="B188">
        <v>183</v>
      </c>
      <c r="C188" s="1">
        <v>2.2330000000000001</v>
      </c>
      <c r="D188" s="1">
        <f t="shared" si="4"/>
        <v>2.3251764705882354</v>
      </c>
      <c r="E188" s="1"/>
      <c r="F188" s="1">
        <f t="shared" si="5"/>
        <v>-9.2176470588235304E-2</v>
      </c>
    </row>
    <row r="189" spans="2:10" x14ac:dyDescent="0.3">
      <c r="B189">
        <v>184</v>
      </c>
      <c r="C189" s="1">
        <v>2.3769999999999998</v>
      </c>
      <c r="D189" s="1">
        <f t="shared" si="4"/>
        <v>2.3378823529411767</v>
      </c>
      <c r="E189" s="1"/>
      <c r="F189" s="1">
        <f t="shared" si="5"/>
        <v>3.9117647058823035E-2</v>
      </c>
    </row>
    <row r="190" spans="2:10" x14ac:dyDescent="0.3">
      <c r="B190">
        <v>185</v>
      </c>
      <c r="C190" s="1">
        <v>2.395</v>
      </c>
      <c r="D190" s="1">
        <f t="shared" si="4"/>
        <v>2.3505882352941176</v>
      </c>
      <c r="E190" s="1"/>
      <c r="F190" s="1">
        <f t="shared" si="5"/>
        <v>4.4411764705882373E-2</v>
      </c>
    </row>
    <row r="191" spans="2:10" x14ac:dyDescent="0.3">
      <c r="B191">
        <v>186</v>
      </c>
      <c r="C191" s="1">
        <v>2.4</v>
      </c>
      <c r="D191" s="1">
        <f t="shared" si="4"/>
        <v>2.363294117647059</v>
      </c>
      <c r="E191" s="1"/>
      <c r="F191" s="1">
        <f t="shared" si="5"/>
        <v>3.6705882352940922E-2</v>
      </c>
    </row>
    <row r="192" spans="2:10" x14ac:dyDescent="0.3">
      <c r="B192">
        <v>187</v>
      </c>
      <c r="C192" s="1">
        <v>2.4</v>
      </c>
      <c r="D192" s="1">
        <f t="shared" si="4"/>
        <v>2.3759999999999999</v>
      </c>
      <c r="E192" s="1"/>
      <c r="F192" s="1">
        <f t="shared" si="5"/>
        <v>2.4000000000000021E-2</v>
      </c>
    </row>
    <row r="193" spans="2:10" x14ac:dyDescent="0.3">
      <c r="B193">
        <v>188</v>
      </c>
      <c r="C193" s="1">
        <v>2.4</v>
      </c>
      <c r="D193" s="1">
        <f t="shared" si="4"/>
        <v>2.3887058823529417</v>
      </c>
      <c r="E193" s="1"/>
      <c r="F193" s="1">
        <f t="shared" si="5"/>
        <v>1.1294117647058233E-2</v>
      </c>
    </row>
    <row r="194" spans="2:10" x14ac:dyDescent="0.3">
      <c r="B194">
        <v>189</v>
      </c>
      <c r="C194" s="1">
        <v>2.4020000000000001</v>
      </c>
      <c r="D194" s="1">
        <f t="shared" si="4"/>
        <v>2.4014117647058826</v>
      </c>
      <c r="E194" s="1"/>
      <c r="F194" s="1">
        <f t="shared" si="5"/>
        <v>5.8823529411755615E-4</v>
      </c>
    </row>
    <row r="195" spans="2:10" x14ac:dyDescent="0.3">
      <c r="B195">
        <v>190</v>
      </c>
      <c r="C195" s="1">
        <v>2.4159999999999999</v>
      </c>
      <c r="D195" s="1">
        <f t="shared" si="4"/>
        <v>2.4141176470588239</v>
      </c>
      <c r="E195" s="1"/>
      <c r="F195" s="1">
        <f t="shared" si="5"/>
        <v>1.882352941176002E-3</v>
      </c>
      <c r="I195">
        <v>2.4</v>
      </c>
      <c r="J195">
        <v>2.4</v>
      </c>
    </row>
    <row r="196" spans="2:10" x14ac:dyDescent="0.3">
      <c r="B196">
        <v>191</v>
      </c>
      <c r="C196" s="1">
        <v>2.456</v>
      </c>
      <c r="D196" s="1">
        <f t="shared" si="4"/>
        <v>2.4268235294117648</v>
      </c>
      <c r="E196" s="1"/>
      <c r="F196" s="1">
        <f t="shared" si="5"/>
        <v>2.9176470588235137E-2</v>
      </c>
    </row>
    <row r="197" spans="2:10" x14ac:dyDescent="0.3">
      <c r="B197">
        <v>192</v>
      </c>
      <c r="C197" s="1">
        <v>2.4700000000000002</v>
      </c>
      <c r="D197" s="1">
        <f t="shared" si="4"/>
        <v>2.4395294117647062</v>
      </c>
      <c r="E197" s="1"/>
      <c r="F197" s="1">
        <f t="shared" si="5"/>
        <v>3.0470588235294027E-2</v>
      </c>
    </row>
    <row r="198" spans="2:10" x14ac:dyDescent="0.3">
      <c r="B198">
        <v>193</v>
      </c>
      <c r="C198" s="1">
        <v>2.48</v>
      </c>
      <c r="D198" s="1">
        <f t="shared" ref="D198:D260" si="6">(B198/255)*$C$2</f>
        <v>2.4522352941176471</v>
      </c>
      <c r="E198" s="1"/>
      <c r="F198" s="1">
        <f t="shared" ref="F198:F260" si="7">C198-D198</f>
        <v>2.7764705882352914E-2</v>
      </c>
    </row>
    <row r="199" spans="2:10" x14ac:dyDescent="0.3">
      <c r="B199">
        <v>194</v>
      </c>
      <c r="C199" s="1">
        <v>2.48</v>
      </c>
      <c r="D199" s="1">
        <f t="shared" si="6"/>
        <v>2.4649411764705884</v>
      </c>
      <c r="E199" s="1"/>
      <c r="F199" s="1">
        <f t="shared" si="7"/>
        <v>1.5058823529411569E-2</v>
      </c>
    </row>
    <row r="200" spans="2:10" x14ac:dyDescent="0.3">
      <c r="B200">
        <v>195</v>
      </c>
      <c r="C200" s="1">
        <v>2.4820000000000002</v>
      </c>
      <c r="D200" s="1">
        <f t="shared" si="6"/>
        <v>2.4776470588235293</v>
      </c>
      <c r="E200" s="1"/>
      <c r="F200" s="1">
        <f t="shared" si="7"/>
        <v>4.3529411764708925E-3</v>
      </c>
    </row>
    <row r="201" spans="2:10" x14ac:dyDescent="0.3">
      <c r="B201">
        <v>196</v>
      </c>
      <c r="C201" s="1">
        <v>2.4969999999999999</v>
      </c>
      <c r="D201" s="1">
        <f t="shared" si="6"/>
        <v>2.4903529411764711</v>
      </c>
      <c r="E201" s="1"/>
      <c r="F201" s="1">
        <f t="shared" si="7"/>
        <v>6.6470588235287842E-3</v>
      </c>
    </row>
    <row r="202" spans="2:10" x14ac:dyDescent="0.3">
      <c r="B202">
        <v>197</v>
      </c>
      <c r="C202" s="1">
        <v>2.5350000000000001</v>
      </c>
      <c r="D202" s="1">
        <f t="shared" si="6"/>
        <v>2.503058823529412</v>
      </c>
      <c r="E202" s="1"/>
      <c r="F202" s="1">
        <f t="shared" si="7"/>
        <v>3.194117647058814E-2</v>
      </c>
    </row>
    <row r="203" spans="2:10" x14ac:dyDescent="0.3">
      <c r="B203">
        <v>198</v>
      </c>
      <c r="C203" s="1">
        <v>2.5550000000000002</v>
      </c>
      <c r="D203" s="1">
        <f t="shared" si="6"/>
        <v>2.5157647058823533</v>
      </c>
      <c r="E203" s="1"/>
      <c r="F203" s="1">
        <f t="shared" si="7"/>
        <v>3.9235294117646813E-2</v>
      </c>
    </row>
    <row r="204" spans="2:10" x14ac:dyDescent="0.3">
      <c r="B204">
        <v>199</v>
      </c>
      <c r="C204" s="1">
        <v>2.56</v>
      </c>
      <c r="D204" s="1">
        <f t="shared" si="6"/>
        <v>2.5284705882352942</v>
      </c>
      <c r="E204" s="1"/>
      <c r="F204" s="1">
        <f t="shared" si="7"/>
        <v>3.1529411764705806E-2</v>
      </c>
    </row>
    <row r="205" spans="2:10" x14ac:dyDescent="0.3">
      <c r="B205">
        <v>200</v>
      </c>
      <c r="C205" s="1">
        <v>2.56</v>
      </c>
      <c r="D205" s="1">
        <f t="shared" si="6"/>
        <v>2.5411764705882356</v>
      </c>
      <c r="E205" s="1"/>
      <c r="F205" s="1">
        <f t="shared" si="7"/>
        <v>1.8823529411764461E-2</v>
      </c>
      <c r="I205">
        <v>2.54</v>
      </c>
      <c r="J205">
        <v>2.4900000000000002</v>
      </c>
    </row>
    <row r="206" spans="2:10" x14ac:dyDescent="0.3">
      <c r="B206">
        <v>201</v>
      </c>
      <c r="C206" s="1">
        <v>2.56</v>
      </c>
      <c r="D206" s="1">
        <f t="shared" si="6"/>
        <v>2.5538823529411765</v>
      </c>
      <c r="E206" s="1"/>
      <c r="F206" s="1">
        <f t="shared" si="7"/>
        <v>6.117647058823561E-3</v>
      </c>
    </row>
    <row r="207" spans="2:10" x14ac:dyDescent="0.3">
      <c r="B207">
        <v>202</v>
      </c>
      <c r="C207" s="1">
        <v>2.5630000000000002</v>
      </c>
      <c r="D207" s="1">
        <f t="shared" si="6"/>
        <v>2.5665882352941178</v>
      </c>
      <c r="E207" s="1"/>
      <c r="F207" s="1">
        <f t="shared" si="7"/>
        <v>-3.5882352941176698E-3</v>
      </c>
    </row>
    <row r="208" spans="2:10" x14ac:dyDescent="0.3">
      <c r="B208">
        <v>203</v>
      </c>
      <c r="C208" s="1">
        <v>2.59</v>
      </c>
      <c r="D208" s="1">
        <f t="shared" si="6"/>
        <v>2.5792941176470587</v>
      </c>
      <c r="E208" s="1"/>
      <c r="F208" s="1">
        <f t="shared" si="7"/>
        <v>1.0705882352941121E-2</v>
      </c>
    </row>
    <row r="209" spans="2:10" x14ac:dyDescent="0.3">
      <c r="B209">
        <v>204</v>
      </c>
      <c r="C209" s="1">
        <v>2.621</v>
      </c>
      <c r="D209" s="1">
        <f t="shared" si="6"/>
        <v>2.5920000000000005</v>
      </c>
      <c r="E209" s="1"/>
      <c r="F209" s="1">
        <f t="shared" si="7"/>
        <v>2.8999999999999471E-2</v>
      </c>
    </row>
    <row r="210" spans="2:10" x14ac:dyDescent="0.3">
      <c r="B210">
        <v>205</v>
      </c>
      <c r="C210" s="1">
        <v>2.6389999999999998</v>
      </c>
      <c r="D210" s="1">
        <f t="shared" si="6"/>
        <v>2.6047058823529414</v>
      </c>
      <c r="E210" s="1"/>
      <c r="F210" s="1">
        <f t="shared" si="7"/>
        <v>3.4294117647058364E-2</v>
      </c>
    </row>
    <row r="211" spans="2:10" x14ac:dyDescent="0.3">
      <c r="B211">
        <v>206</v>
      </c>
      <c r="C211" s="1">
        <v>2.64</v>
      </c>
      <c r="D211" s="1">
        <f t="shared" si="6"/>
        <v>2.6174117647058828</v>
      </c>
      <c r="E211" s="1"/>
      <c r="F211" s="1">
        <f t="shared" si="7"/>
        <v>2.2588235294117354E-2</v>
      </c>
    </row>
    <row r="212" spans="2:10" x14ac:dyDescent="0.3">
      <c r="B212">
        <v>207</v>
      </c>
      <c r="C212" s="1">
        <v>2.64</v>
      </c>
      <c r="D212" s="1">
        <f t="shared" si="6"/>
        <v>2.6301176470588237</v>
      </c>
      <c r="E212" s="1"/>
      <c r="F212" s="1">
        <f t="shared" si="7"/>
        <v>9.8823529411764532E-3</v>
      </c>
    </row>
    <row r="213" spans="2:10" x14ac:dyDescent="0.3">
      <c r="B213">
        <v>208</v>
      </c>
      <c r="C213" s="1">
        <v>2.64</v>
      </c>
      <c r="D213" s="1">
        <f t="shared" si="6"/>
        <v>2.642823529411765</v>
      </c>
      <c r="E213" s="1"/>
      <c r="F213" s="1">
        <f t="shared" si="7"/>
        <v>-2.8235294117648913E-3</v>
      </c>
    </row>
    <row r="214" spans="2:10" x14ac:dyDescent="0.3">
      <c r="B214">
        <v>209</v>
      </c>
      <c r="C214" s="1">
        <v>2.641</v>
      </c>
      <c r="D214" s="1">
        <f t="shared" si="6"/>
        <v>2.6555294117647059</v>
      </c>
      <c r="E214" s="1"/>
      <c r="F214" s="1">
        <f t="shared" si="7"/>
        <v>-1.4529411764705902E-2</v>
      </c>
    </row>
    <row r="215" spans="2:10" x14ac:dyDescent="0.3">
      <c r="B215">
        <v>210</v>
      </c>
      <c r="C215" s="1">
        <v>2.6440000000000001</v>
      </c>
      <c r="D215" s="1">
        <f t="shared" si="6"/>
        <v>2.6682352941176473</v>
      </c>
      <c r="E215" s="1"/>
      <c r="F215" s="1">
        <f t="shared" si="7"/>
        <v>-2.4235294117647133E-2</v>
      </c>
      <c r="I215">
        <v>2.64</v>
      </c>
      <c r="J215">
        <v>2.64</v>
      </c>
    </row>
    <row r="216" spans="2:10" x14ac:dyDescent="0.3">
      <c r="B216">
        <v>211</v>
      </c>
      <c r="C216" s="1">
        <v>2.657</v>
      </c>
      <c r="D216" s="1">
        <f t="shared" si="6"/>
        <v>2.6809411764705882</v>
      </c>
      <c r="E216" s="1"/>
      <c r="F216" s="1">
        <f t="shared" si="7"/>
        <v>-2.3941176470588132E-2</v>
      </c>
    </row>
    <row r="217" spans="2:10" x14ac:dyDescent="0.3">
      <c r="B217">
        <v>212</v>
      </c>
      <c r="C217" s="1">
        <v>2.6819999999999999</v>
      </c>
      <c r="D217" s="1">
        <f t="shared" si="6"/>
        <v>2.6936470588235299</v>
      </c>
      <c r="E217" s="1"/>
      <c r="F217" s="1">
        <f t="shared" si="7"/>
        <v>-1.164705882353001E-2</v>
      </c>
    </row>
    <row r="218" spans="2:10" x14ac:dyDescent="0.3">
      <c r="B218">
        <v>213</v>
      </c>
      <c r="C218" s="1">
        <v>2.71</v>
      </c>
      <c r="D218" s="1">
        <f t="shared" si="6"/>
        <v>2.7063529411764708</v>
      </c>
      <c r="E218" s="1"/>
      <c r="F218" s="1">
        <f t="shared" si="7"/>
        <v>3.6470588235291146E-3</v>
      </c>
    </row>
    <row r="219" spans="2:10" x14ac:dyDescent="0.3">
      <c r="B219">
        <v>214</v>
      </c>
      <c r="C219" s="1">
        <v>2.7189999999999999</v>
      </c>
      <c r="D219" s="1">
        <f t="shared" si="6"/>
        <v>2.7190588235294122</v>
      </c>
      <c r="E219" s="1"/>
      <c r="F219" s="1">
        <f t="shared" si="7"/>
        <v>-5.8823529412332931E-5</v>
      </c>
    </row>
    <row r="220" spans="2:10" x14ac:dyDescent="0.3">
      <c r="B220">
        <v>215</v>
      </c>
      <c r="C220" s="1">
        <v>2.72</v>
      </c>
      <c r="D220" s="1">
        <f t="shared" si="6"/>
        <v>2.7317647058823531</v>
      </c>
      <c r="E220" s="1"/>
      <c r="F220" s="1">
        <f t="shared" si="7"/>
        <v>-1.1764705882352899E-2</v>
      </c>
    </row>
    <row r="221" spans="2:10" x14ac:dyDescent="0.3">
      <c r="B221">
        <v>216</v>
      </c>
      <c r="C221" s="1">
        <v>2.72</v>
      </c>
      <c r="D221" s="1">
        <f t="shared" si="6"/>
        <v>2.7444705882352944</v>
      </c>
      <c r="E221" s="1"/>
      <c r="F221" s="1">
        <f t="shared" si="7"/>
        <v>-2.4470588235294244E-2</v>
      </c>
    </row>
    <row r="222" spans="2:10" x14ac:dyDescent="0.3">
      <c r="B222">
        <v>217</v>
      </c>
      <c r="C222" s="1">
        <v>2.72</v>
      </c>
      <c r="D222" s="1">
        <f t="shared" si="6"/>
        <v>2.7571764705882353</v>
      </c>
      <c r="E222" s="1"/>
      <c r="F222" s="1">
        <f t="shared" si="7"/>
        <v>-3.7176470588235144E-2</v>
      </c>
    </row>
    <row r="223" spans="2:10" x14ac:dyDescent="0.3">
      <c r="B223">
        <v>218</v>
      </c>
      <c r="C223" s="1">
        <v>2.722</v>
      </c>
      <c r="D223" s="1">
        <f t="shared" si="6"/>
        <v>2.7698823529411767</v>
      </c>
      <c r="E223" s="1"/>
      <c r="F223" s="1">
        <f t="shared" si="7"/>
        <v>-4.7882352941176709E-2</v>
      </c>
    </row>
    <row r="224" spans="2:10" x14ac:dyDescent="0.3">
      <c r="B224">
        <v>219</v>
      </c>
      <c r="C224" s="1">
        <v>2.7250000000000001</v>
      </c>
      <c r="D224" s="1">
        <f t="shared" si="6"/>
        <v>2.7825882352941176</v>
      </c>
      <c r="E224" s="1"/>
      <c r="F224" s="1">
        <f t="shared" si="7"/>
        <v>-5.7588235294117496E-2</v>
      </c>
    </row>
    <row r="225" spans="2:10" x14ac:dyDescent="0.3">
      <c r="B225">
        <v>220</v>
      </c>
      <c r="C225" s="1">
        <v>2.7429999999999999</v>
      </c>
      <c r="D225" s="1">
        <f t="shared" si="6"/>
        <v>2.7952941176470589</v>
      </c>
      <c r="E225" s="1"/>
      <c r="F225" s="1">
        <f t="shared" si="7"/>
        <v>-5.2294117647059046E-2</v>
      </c>
      <c r="I225">
        <v>2.73</v>
      </c>
      <c r="J225">
        <v>2.7250000000000001</v>
      </c>
    </row>
    <row r="226" spans="2:10" x14ac:dyDescent="0.3">
      <c r="B226">
        <v>221</v>
      </c>
      <c r="C226" s="1">
        <v>2.77</v>
      </c>
      <c r="D226" s="1">
        <f t="shared" si="6"/>
        <v>2.8080000000000003</v>
      </c>
      <c r="E226" s="1"/>
      <c r="F226" s="1">
        <f t="shared" si="7"/>
        <v>-3.8000000000000256E-2</v>
      </c>
    </row>
    <row r="227" spans="2:10" x14ac:dyDescent="0.3">
      <c r="B227">
        <v>222</v>
      </c>
      <c r="C227" s="1">
        <v>2.794</v>
      </c>
      <c r="D227" s="1">
        <f t="shared" si="6"/>
        <v>2.8207058823529416</v>
      </c>
      <c r="E227" s="1"/>
      <c r="F227" s="1">
        <f t="shared" si="7"/>
        <v>-2.6705882352941579E-2</v>
      </c>
    </row>
    <row r="228" spans="2:10" x14ac:dyDescent="0.3">
      <c r="B228">
        <v>223</v>
      </c>
      <c r="C228" s="1">
        <v>2.7989999999999999</v>
      </c>
      <c r="D228" s="1">
        <f t="shared" si="6"/>
        <v>2.8334117647058825</v>
      </c>
      <c r="E228" s="1"/>
      <c r="F228" s="1">
        <f t="shared" si="7"/>
        <v>-3.4411764705882586E-2</v>
      </c>
    </row>
    <row r="229" spans="2:10" x14ac:dyDescent="0.3">
      <c r="B229">
        <v>224</v>
      </c>
      <c r="C229" s="1">
        <v>2.8</v>
      </c>
      <c r="D229" s="1">
        <f t="shared" si="6"/>
        <v>2.8461176470588239</v>
      </c>
      <c r="E229" s="1"/>
      <c r="F229" s="1">
        <f t="shared" si="7"/>
        <v>-4.6117647058824041E-2</v>
      </c>
    </row>
    <row r="230" spans="2:10" x14ac:dyDescent="0.3">
      <c r="B230">
        <v>225</v>
      </c>
      <c r="C230" s="1">
        <v>2.8</v>
      </c>
      <c r="D230" s="1">
        <f t="shared" si="6"/>
        <v>2.8588235294117648</v>
      </c>
      <c r="E230" s="1"/>
      <c r="F230" s="1">
        <f t="shared" si="7"/>
        <v>-5.8823529411764941E-2</v>
      </c>
    </row>
    <row r="231" spans="2:10" x14ac:dyDescent="0.3">
      <c r="B231">
        <v>226</v>
      </c>
      <c r="C231" s="1">
        <v>2.802</v>
      </c>
      <c r="D231" s="1">
        <f t="shared" si="6"/>
        <v>2.8715294117647061</v>
      </c>
      <c r="E231" s="1"/>
      <c r="F231" s="1">
        <f t="shared" si="7"/>
        <v>-6.9529411764706062E-2</v>
      </c>
    </row>
    <row r="232" spans="2:10" x14ac:dyDescent="0.3">
      <c r="B232">
        <v>227</v>
      </c>
      <c r="C232" s="1">
        <v>2.8130000000000002</v>
      </c>
      <c r="D232" s="1">
        <f t="shared" si="6"/>
        <v>2.884235294117647</v>
      </c>
      <c r="E232" s="1"/>
      <c r="F232" s="1">
        <f t="shared" si="7"/>
        <v>-7.1235294117646841E-2</v>
      </c>
    </row>
    <row r="233" spans="2:10" x14ac:dyDescent="0.3">
      <c r="B233">
        <v>228</v>
      </c>
      <c r="C233" s="1">
        <v>2.87</v>
      </c>
      <c r="D233" s="1">
        <f t="shared" si="6"/>
        <v>2.8969411764705884</v>
      </c>
      <c r="E233" s="1"/>
      <c r="F233" s="1">
        <f t="shared" si="7"/>
        <v>-2.6941176470588246E-2</v>
      </c>
    </row>
    <row r="234" spans="2:10" x14ac:dyDescent="0.3">
      <c r="B234">
        <v>229</v>
      </c>
      <c r="C234" s="1">
        <v>2.915</v>
      </c>
      <c r="D234" s="1">
        <f t="shared" si="6"/>
        <v>2.9096470588235297</v>
      </c>
      <c r="E234" s="1"/>
      <c r="F234" s="1">
        <f t="shared" si="7"/>
        <v>5.3529411764703383E-3</v>
      </c>
    </row>
    <row r="235" spans="2:10" x14ac:dyDescent="0.3">
      <c r="B235">
        <v>230</v>
      </c>
      <c r="C235" s="1">
        <v>2.9540000000000002</v>
      </c>
      <c r="D235" s="1">
        <f t="shared" si="6"/>
        <v>2.922352941176471</v>
      </c>
      <c r="E235" s="1"/>
      <c r="F235" s="1">
        <f t="shared" si="7"/>
        <v>3.1647058823529139E-2</v>
      </c>
      <c r="I235">
        <v>2.88</v>
      </c>
      <c r="J235">
        <v>2.9550000000000001</v>
      </c>
    </row>
    <row r="236" spans="2:10" x14ac:dyDescent="0.3">
      <c r="B236">
        <v>231</v>
      </c>
      <c r="C236" s="1">
        <v>2.9590000000000001</v>
      </c>
      <c r="D236" s="1">
        <f t="shared" si="6"/>
        <v>2.9350588235294119</v>
      </c>
      <c r="E236" s="1"/>
      <c r="F236" s="1">
        <f t="shared" si="7"/>
        <v>2.3941176470588132E-2</v>
      </c>
    </row>
    <row r="237" spans="2:10" x14ac:dyDescent="0.3">
      <c r="B237">
        <v>232</v>
      </c>
      <c r="C237" s="1">
        <v>2.9660000000000002</v>
      </c>
      <c r="D237" s="1">
        <f t="shared" si="6"/>
        <v>2.9477647058823533</v>
      </c>
      <c r="E237" s="1"/>
      <c r="F237" s="1">
        <f t="shared" si="7"/>
        <v>1.8235294117646905E-2</v>
      </c>
    </row>
    <row r="238" spans="2:10" x14ac:dyDescent="0.3">
      <c r="B238">
        <v>233</v>
      </c>
      <c r="C238" s="1">
        <v>2.96</v>
      </c>
      <c r="D238" s="1">
        <f t="shared" si="6"/>
        <v>2.9604705882352942</v>
      </c>
      <c r="E238" s="1"/>
      <c r="F238" s="1">
        <f t="shared" si="7"/>
        <v>-4.7058823529422256E-4</v>
      </c>
    </row>
    <row r="239" spans="2:10" x14ac:dyDescent="0.3">
      <c r="B239">
        <v>234</v>
      </c>
      <c r="C239" s="1">
        <v>2.9630000000000001</v>
      </c>
      <c r="D239" s="1">
        <f t="shared" si="6"/>
        <v>2.9731764705882355</v>
      </c>
      <c r="E239" s="1"/>
      <c r="F239" s="1">
        <f t="shared" si="7"/>
        <v>-1.0176470588235453E-2</v>
      </c>
    </row>
    <row r="240" spans="2:10" x14ac:dyDescent="0.3">
      <c r="B240">
        <v>235</v>
      </c>
      <c r="C240" s="1">
        <v>2.9750000000000001</v>
      </c>
      <c r="D240" s="1">
        <f t="shared" si="6"/>
        <v>2.9858823529411764</v>
      </c>
      <c r="E240" s="1"/>
      <c r="F240" s="1">
        <f t="shared" si="7"/>
        <v>-1.0882352941176343E-2</v>
      </c>
    </row>
    <row r="241" spans="2:10" x14ac:dyDescent="0.3">
      <c r="B241">
        <v>236</v>
      </c>
      <c r="C241" s="1">
        <v>3</v>
      </c>
      <c r="D241" s="1">
        <f t="shared" si="6"/>
        <v>2.9985882352941178</v>
      </c>
      <c r="E241" s="1"/>
      <c r="F241" s="1">
        <f t="shared" si="7"/>
        <v>1.4117647058822236E-3</v>
      </c>
    </row>
    <row r="242" spans="2:10" x14ac:dyDescent="0.3">
      <c r="B242">
        <v>237</v>
      </c>
      <c r="C242" s="1">
        <v>3.04</v>
      </c>
      <c r="D242" s="1">
        <f t="shared" si="6"/>
        <v>3.0112941176470591</v>
      </c>
      <c r="E242" s="1"/>
      <c r="F242" s="1">
        <f t="shared" si="7"/>
        <v>2.8705882352940915E-2</v>
      </c>
    </row>
    <row r="243" spans="2:10" x14ac:dyDescent="0.3">
      <c r="B243">
        <v>238</v>
      </c>
      <c r="C243" s="1">
        <v>3.069</v>
      </c>
      <c r="D243" s="1">
        <f t="shared" si="6"/>
        <v>3.0240000000000005</v>
      </c>
      <c r="E243" s="1"/>
      <c r="F243" s="1">
        <f t="shared" si="7"/>
        <v>4.4999999999999485E-2</v>
      </c>
    </row>
    <row r="244" spans="2:10" x14ac:dyDescent="0.3">
      <c r="B244">
        <v>239</v>
      </c>
      <c r="C244" s="1">
        <v>3.08</v>
      </c>
      <c r="D244" s="1">
        <f t="shared" si="6"/>
        <v>3.0367058823529414</v>
      </c>
      <c r="E244" s="1"/>
      <c r="F244" s="1">
        <f t="shared" si="7"/>
        <v>4.3294117647058705E-2</v>
      </c>
    </row>
    <row r="245" spans="2:10" x14ac:dyDescent="0.3">
      <c r="B245">
        <v>240</v>
      </c>
      <c r="C245" s="1">
        <v>3.08</v>
      </c>
      <c r="D245" s="1">
        <f t="shared" si="6"/>
        <v>3.0494117647058827</v>
      </c>
      <c r="E245" s="1"/>
      <c r="F245" s="1">
        <f t="shared" si="7"/>
        <v>3.0588235294117361E-2</v>
      </c>
      <c r="I245">
        <v>2.96</v>
      </c>
      <c r="J245">
        <v>3.08</v>
      </c>
    </row>
    <row r="246" spans="2:10" x14ac:dyDescent="0.3">
      <c r="B246">
        <v>241</v>
      </c>
      <c r="C246" s="1">
        <v>3.08</v>
      </c>
      <c r="D246" s="1">
        <f t="shared" si="6"/>
        <v>3.0621176470588236</v>
      </c>
      <c r="E246" s="1"/>
      <c r="F246" s="1">
        <f t="shared" si="7"/>
        <v>1.788235294117646E-2</v>
      </c>
    </row>
    <row r="247" spans="2:10" x14ac:dyDescent="0.3">
      <c r="B247">
        <v>242</v>
      </c>
      <c r="C247" s="1">
        <v>3.081</v>
      </c>
      <c r="D247" s="1">
        <f t="shared" si="6"/>
        <v>3.074823529411765</v>
      </c>
      <c r="E247" s="1"/>
      <c r="F247" s="1">
        <f t="shared" si="7"/>
        <v>6.1764705882350057E-3</v>
      </c>
    </row>
    <row r="248" spans="2:10" x14ac:dyDescent="0.3">
      <c r="B248">
        <v>243</v>
      </c>
      <c r="C248" s="1">
        <v>3.0950000000000002</v>
      </c>
      <c r="D248" s="1">
        <f t="shared" si="6"/>
        <v>3.0875294117647059</v>
      </c>
      <c r="E248" s="1"/>
      <c r="F248" s="1">
        <f t="shared" si="7"/>
        <v>7.4705882352943398E-3</v>
      </c>
    </row>
    <row r="249" spans="2:10" x14ac:dyDescent="0.3">
      <c r="B249">
        <v>244</v>
      </c>
      <c r="C249" s="1">
        <v>3.1150000000000002</v>
      </c>
      <c r="D249" s="1">
        <f t="shared" si="6"/>
        <v>3.1002352941176472</v>
      </c>
      <c r="E249" s="1"/>
      <c r="F249" s="1">
        <f t="shared" si="7"/>
        <v>1.4764705882353013E-2</v>
      </c>
    </row>
    <row r="250" spans="2:10" x14ac:dyDescent="0.3">
      <c r="B250">
        <v>245</v>
      </c>
      <c r="C250" s="1">
        <v>3.145</v>
      </c>
      <c r="D250" s="1">
        <f t="shared" si="6"/>
        <v>3.1129411764705885</v>
      </c>
      <c r="E250" s="1"/>
      <c r="F250" s="1">
        <f t="shared" si="7"/>
        <v>3.2058823529411473E-2</v>
      </c>
    </row>
    <row r="251" spans="2:10" x14ac:dyDescent="0.3">
      <c r="B251">
        <v>246</v>
      </c>
      <c r="C251" s="1">
        <v>3.1549999999999998</v>
      </c>
      <c r="D251" s="1">
        <f t="shared" si="6"/>
        <v>3.1256470588235294</v>
      </c>
      <c r="E251" s="1"/>
      <c r="F251" s="1">
        <f t="shared" si="7"/>
        <v>2.935294117647036E-2</v>
      </c>
    </row>
    <row r="252" spans="2:10" x14ac:dyDescent="0.3">
      <c r="B252">
        <v>247</v>
      </c>
      <c r="C252" s="1">
        <v>3.16</v>
      </c>
      <c r="D252" s="1">
        <f t="shared" si="6"/>
        <v>3.1383529411764708</v>
      </c>
      <c r="E252" s="1"/>
      <c r="F252" s="1">
        <f t="shared" si="7"/>
        <v>2.1647058823529353E-2</v>
      </c>
    </row>
    <row r="253" spans="2:10" x14ac:dyDescent="0.3">
      <c r="B253">
        <v>248</v>
      </c>
      <c r="C253" s="1">
        <v>3.16</v>
      </c>
      <c r="D253" s="1">
        <f t="shared" si="6"/>
        <v>3.1510588235294121</v>
      </c>
      <c r="E253" s="1"/>
      <c r="F253" s="1">
        <f t="shared" si="7"/>
        <v>8.9411764705880081E-3</v>
      </c>
    </row>
    <row r="254" spans="2:10" x14ac:dyDescent="0.3">
      <c r="B254">
        <v>249</v>
      </c>
      <c r="C254" s="1">
        <v>3.16</v>
      </c>
      <c r="D254" s="1">
        <f t="shared" si="6"/>
        <v>3.163764705882353</v>
      </c>
      <c r="E254" s="1"/>
      <c r="F254" s="1">
        <f t="shared" si="7"/>
        <v>-3.7647058823528923E-3</v>
      </c>
    </row>
    <row r="255" spans="2:10" x14ac:dyDescent="0.3">
      <c r="B255">
        <v>250</v>
      </c>
      <c r="C255" s="1">
        <v>3.1619999999999999</v>
      </c>
      <c r="D255" s="1">
        <f t="shared" si="6"/>
        <v>3.1764705882352944</v>
      </c>
      <c r="E255" s="1"/>
      <c r="F255" s="1">
        <f t="shared" si="7"/>
        <v>-1.4470588235294457E-2</v>
      </c>
      <c r="I255">
        <v>3.13</v>
      </c>
      <c r="J255">
        <v>3.23</v>
      </c>
    </row>
    <row r="256" spans="2:10" x14ac:dyDescent="0.3">
      <c r="B256">
        <v>251</v>
      </c>
      <c r="C256" s="1">
        <v>3.177</v>
      </c>
      <c r="D256" s="1">
        <f t="shared" si="6"/>
        <v>3.1891764705882353</v>
      </c>
      <c r="E256" s="1"/>
      <c r="F256" s="1">
        <f t="shared" si="7"/>
        <v>-1.2176470588235233E-2</v>
      </c>
    </row>
    <row r="257" spans="2:10" x14ac:dyDescent="0.3">
      <c r="B257">
        <v>252</v>
      </c>
      <c r="C257" s="1">
        <v>3.2160000000000002</v>
      </c>
      <c r="D257" s="1">
        <f t="shared" si="6"/>
        <v>3.2018823529411766</v>
      </c>
      <c r="E257" s="1"/>
      <c r="F257" s="1">
        <f t="shared" si="7"/>
        <v>1.4117647058823568E-2</v>
      </c>
    </row>
    <row r="258" spans="2:10" x14ac:dyDescent="0.3">
      <c r="B258">
        <v>253</v>
      </c>
      <c r="C258" s="1">
        <v>3.2389999999999999</v>
      </c>
      <c r="D258" s="1">
        <f t="shared" si="6"/>
        <v>3.214588235294118</v>
      </c>
      <c r="E258" s="1"/>
      <c r="F258" s="1">
        <f t="shared" si="7"/>
        <v>2.4411764705881911E-2</v>
      </c>
    </row>
    <row r="259" spans="2:10" x14ac:dyDescent="0.3">
      <c r="B259">
        <v>254</v>
      </c>
      <c r="C259" s="1">
        <v>3.24</v>
      </c>
      <c r="D259" s="1">
        <f t="shared" si="6"/>
        <v>3.2272941176470589</v>
      </c>
      <c r="E259" s="1"/>
      <c r="F259" s="1">
        <f t="shared" si="7"/>
        <v>1.2705882352941344E-2</v>
      </c>
    </row>
    <row r="260" spans="2:10" x14ac:dyDescent="0.3">
      <c r="B260">
        <v>255</v>
      </c>
      <c r="C260" s="1">
        <v>3.24</v>
      </c>
      <c r="D260" s="1">
        <f t="shared" si="6"/>
        <v>3.24</v>
      </c>
      <c r="E260" s="1"/>
      <c r="F260" s="1">
        <f t="shared" si="7"/>
        <v>0</v>
      </c>
      <c r="I260">
        <v>3.1629999999999998</v>
      </c>
      <c r="J260">
        <v>3.25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B6EBA-046E-4E28-9A61-7CC72D9C0613}">
  <sheetPr codeName="Tabelle2"/>
  <dimension ref="A1:E260"/>
  <sheetViews>
    <sheetView topLeftCell="A225" workbookViewId="0">
      <selection activeCell="F237" sqref="F237"/>
    </sheetView>
  </sheetViews>
  <sheetFormatPr baseColWidth="10" defaultRowHeight="14.4" x14ac:dyDescent="0.3"/>
  <cols>
    <col min="2" max="2" width="16.88671875" bestFit="1" customWidth="1"/>
    <col min="3" max="3" width="11.5546875" style="2"/>
  </cols>
  <sheetData>
    <row r="1" spans="2:2" x14ac:dyDescent="0.3">
      <c r="B1" t="s">
        <v>4</v>
      </c>
    </row>
    <row r="2" spans="2:2" x14ac:dyDescent="0.3">
      <c r="B2" t="s">
        <v>5</v>
      </c>
    </row>
    <row r="4" spans="2:2" x14ac:dyDescent="0.3">
      <c r="B4" t="s">
        <v>3</v>
      </c>
    </row>
    <row r="5" spans="2:2" x14ac:dyDescent="0.3">
      <c r="B5">
        <v>0</v>
      </c>
    </row>
    <row r="6" spans="2:2" x14ac:dyDescent="0.3">
      <c r="B6">
        <v>1</v>
      </c>
    </row>
    <row r="7" spans="2:2" x14ac:dyDescent="0.3">
      <c r="B7">
        <v>2</v>
      </c>
    </row>
    <row r="8" spans="2:2" x14ac:dyDescent="0.3">
      <c r="B8">
        <v>3</v>
      </c>
    </row>
    <row r="9" spans="2:2" x14ac:dyDescent="0.3">
      <c r="B9">
        <v>4</v>
      </c>
    </row>
    <row r="10" spans="2:2" x14ac:dyDescent="0.3">
      <c r="B10">
        <v>5</v>
      </c>
    </row>
    <row r="11" spans="2:2" x14ac:dyDescent="0.3">
      <c r="B11">
        <v>6</v>
      </c>
    </row>
    <row r="12" spans="2:2" x14ac:dyDescent="0.3">
      <c r="B12">
        <v>7</v>
      </c>
    </row>
    <row r="13" spans="2:2" x14ac:dyDescent="0.3">
      <c r="B13">
        <v>8</v>
      </c>
    </row>
    <row r="14" spans="2:2" x14ac:dyDescent="0.3">
      <c r="B14">
        <v>9</v>
      </c>
    </row>
    <row r="15" spans="2:2" x14ac:dyDescent="0.3">
      <c r="B15">
        <v>10</v>
      </c>
    </row>
    <row r="16" spans="2:2" x14ac:dyDescent="0.3">
      <c r="B16">
        <v>11</v>
      </c>
    </row>
    <row r="17" spans="2:2" x14ac:dyDescent="0.3">
      <c r="B17">
        <v>12</v>
      </c>
    </row>
    <row r="18" spans="2:2" x14ac:dyDescent="0.3">
      <c r="B18">
        <v>13</v>
      </c>
    </row>
    <row r="19" spans="2:2" x14ac:dyDescent="0.3">
      <c r="B19">
        <v>14</v>
      </c>
    </row>
    <row r="20" spans="2:2" x14ac:dyDescent="0.3">
      <c r="B20">
        <v>15</v>
      </c>
    </row>
    <row r="21" spans="2:2" x14ac:dyDescent="0.3">
      <c r="B21">
        <v>16</v>
      </c>
    </row>
    <row r="22" spans="2:2" x14ac:dyDescent="0.3">
      <c r="B22">
        <v>17</v>
      </c>
    </row>
    <row r="23" spans="2:2" x14ac:dyDescent="0.3">
      <c r="B23">
        <v>18</v>
      </c>
    </row>
    <row r="24" spans="2:2" x14ac:dyDescent="0.3">
      <c r="B24">
        <v>19</v>
      </c>
    </row>
    <row r="25" spans="2:2" x14ac:dyDescent="0.3">
      <c r="B25">
        <v>20</v>
      </c>
    </row>
    <row r="26" spans="2:2" x14ac:dyDescent="0.3">
      <c r="B26">
        <v>21</v>
      </c>
    </row>
    <row r="27" spans="2:2" x14ac:dyDescent="0.3">
      <c r="B27">
        <v>22</v>
      </c>
    </row>
    <row r="28" spans="2:2" x14ac:dyDescent="0.3">
      <c r="B28">
        <v>23</v>
      </c>
    </row>
    <row r="29" spans="2:2" x14ac:dyDescent="0.3">
      <c r="B29">
        <v>24</v>
      </c>
    </row>
    <row r="30" spans="2:2" x14ac:dyDescent="0.3">
      <c r="B30">
        <v>25</v>
      </c>
    </row>
    <row r="31" spans="2:2" x14ac:dyDescent="0.3">
      <c r="B31">
        <v>26</v>
      </c>
    </row>
    <row r="32" spans="2:2" x14ac:dyDescent="0.3">
      <c r="B32">
        <v>27</v>
      </c>
    </row>
    <row r="33" spans="2:2" x14ac:dyDescent="0.3">
      <c r="B33">
        <v>28</v>
      </c>
    </row>
    <row r="34" spans="2:2" x14ac:dyDescent="0.3">
      <c r="B34">
        <v>29</v>
      </c>
    </row>
    <row r="35" spans="2:2" x14ac:dyDescent="0.3">
      <c r="B35">
        <v>30</v>
      </c>
    </row>
    <row r="36" spans="2:2" x14ac:dyDescent="0.3">
      <c r="B36">
        <v>31</v>
      </c>
    </row>
    <row r="37" spans="2:2" x14ac:dyDescent="0.3">
      <c r="B37">
        <v>32</v>
      </c>
    </row>
    <row r="38" spans="2:2" x14ac:dyDescent="0.3">
      <c r="B38">
        <v>33</v>
      </c>
    </row>
    <row r="39" spans="2:2" x14ac:dyDescent="0.3">
      <c r="B39">
        <v>34</v>
      </c>
    </row>
    <row r="40" spans="2:2" x14ac:dyDescent="0.3">
      <c r="B40">
        <v>35</v>
      </c>
    </row>
    <row r="41" spans="2:2" x14ac:dyDescent="0.3">
      <c r="B41">
        <v>36</v>
      </c>
    </row>
    <row r="42" spans="2:2" x14ac:dyDescent="0.3">
      <c r="B42">
        <v>37</v>
      </c>
    </row>
    <row r="43" spans="2:2" x14ac:dyDescent="0.3">
      <c r="B43">
        <v>38</v>
      </c>
    </row>
    <row r="44" spans="2:2" x14ac:dyDescent="0.3">
      <c r="B44">
        <v>39</v>
      </c>
    </row>
    <row r="45" spans="2:2" x14ac:dyDescent="0.3">
      <c r="B45">
        <v>40</v>
      </c>
    </row>
    <row r="46" spans="2:2" x14ac:dyDescent="0.3">
      <c r="B46">
        <v>41</v>
      </c>
    </row>
    <row r="47" spans="2:2" x14ac:dyDescent="0.3">
      <c r="B47">
        <v>42</v>
      </c>
    </row>
    <row r="48" spans="2:2" x14ac:dyDescent="0.3">
      <c r="B48">
        <v>43</v>
      </c>
    </row>
    <row r="49" spans="2:2" x14ac:dyDescent="0.3">
      <c r="B49">
        <v>44</v>
      </c>
    </row>
    <row r="50" spans="2:2" x14ac:dyDescent="0.3">
      <c r="B50">
        <v>45</v>
      </c>
    </row>
    <row r="51" spans="2:2" x14ac:dyDescent="0.3">
      <c r="B51">
        <v>46</v>
      </c>
    </row>
    <row r="52" spans="2:2" x14ac:dyDescent="0.3">
      <c r="B52">
        <v>47</v>
      </c>
    </row>
    <row r="53" spans="2:2" x14ac:dyDescent="0.3">
      <c r="B53">
        <v>48</v>
      </c>
    </row>
    <row r="54" spans="2:2" x14ac:dyDescent="0.3">
      <c r="B54">
        <v>49</v>
      </c>
    </row>
    <row r="55" spans="2:2" x14ac:dyDescent="0.3">
      <c r="B55">
        <v>50</v>
      </c>
    </row>
    <row r="56" spans="2:2" x14ac:dyDescent="0.3">
      <c r="B56">
        <v>51</v>
      </c>
    </row>
    <row r="57" spans="2:2" x14ac:dyDescent="0.3">
      <c r="B57">
        <v>52</v>
      </c>
    </row>
    <row r="58" spans="2:2" x14ac:dyDescent="0.3">
      <c r="B58">
        <v>53</v>
      </c>
    </row>
    <row r="59" spans="2:2" x14ac:dyDescent="0.3">
      <c r="B59">
        <v>54</v>
      </c>
    </row>
    <row r="60" spans="2:2" x14ac:dyDescent="0.3">
      <c r="B60">
        <v>55</v>
      </c>
    </row>
    <row r="61" spans="2:2" x14ac:dyDescent="0.3">
      <c r="B61">
        <v>56</v>
      </c>
    </row>
    <row r="62" spans="2:2" x14ac:dyDescent="0.3">
      <c r="B62">
        <v>57</v>
      </c>
    </row>
    <row r="63" spans="2:2" x14ac:dyDescent="0.3">
      <c r="B63">
        <v>58</v>
      </c>
    </row>
    <row r="64" spans="2:2" x14ac:dyDescent="0.3">
      <c r="B64">
        <v>59</v>
      </c>
    </row>
    <row r="65" spans="2:2" x14ac:dyDescent="0.3">
      <c r="B65">
        <v>60</v>
      </c>
    </row>
    <row r="66" spans="2:2" x14ac:dyDescent="0.3">
      <c r="B66">
        <v>61</v>
      </c>
    </row>
    <row r="67" spans="2:2" x14ac:dyDescent="0.3">
      <c r="B67">
        <v>62</v>
      </c>
    </row>
    <row r="68" spans="2:2" x14ac:dyDescent="0.3">
      <c r="B68">
        <v>63</v>
      </c>
    </row>
    <row r="69" spans="2:2" x14ac:dyDescent="0.3">
      <c r="B69">
        <v>64</v>
      </c>
    </row>
    <row r="70" spans="2:2" x14ac:dyDescent="0.3">
      <c r="B70">
        <v>65</v>
      </c>
    </row>
    <row r="71" spans="2:2" x14ac:dyDescent="0.3">
      <c r="B71">
        <v>66</v>
      </c>
    </row>
    <row r="72" spans="2:2" x14ac:dyDescent="0.3">
      <c r="B72">
        <v>67</v>
      </c>
    </row>
    <row r="73" spans="2:2" x14ac:dyDescent="0.3">
      <c r="B73">
        <v>68</v>
      </c>
    </row>
    <row r="74" spans="2:2" x14ac:dyDescent="0.3">
      <c r="B74">
        <v>69</v>
      </c>
    </row>
    <row r="75" spans="2:2" x14ac:dyDescent="0.3">
      <c r="B75">
        <v>70</v>
      </c>
    </row>
    <row r="76" spans="2:2" x14ac:dyDescent="0.3">
      <c r="B76">
        <v>71</v>
      </c>
    </row>
    <row r="77" spans="2:2" x14ac:dyDescent="0.3">
      <c r="B77">
        <v>72</v>
      </c>
    </row>
    <row r="78" spans="2:2" x14ac:dyDescent="0.3">
      <c r="B78">
        <v>73</v>
      </c>
    </row>
    <row r="79" spans="2:2" x14ac:dyDescent="0.3">
      <c r="B79">
        <v>74</v>
      </c>
    </row>
    <row r="80" spans="2:2" x14ac:dyDescent="0.3">
      <c r="B80">
        <v>75</v>
      </c>
    </row>
    <row r="81" spans="2:2" x14ac:dyDescent="0.3">
      <c r="B81">
        <v>76</v>
      </c>
    </row>
    <row r="82" spans="2:2" x14ac:dyDescent="0.3">
      <c r="B82">
        <v>77</v>
      </c>
    </row>
    <row r="83" spans="2:2" x14ac:dyDescent="0.3">
      <c r="B83">
        <v>78</v>
      </c>
    </row>
    <row r="84" spans="2:2" x14ac:dyDescent="0.3">
      <c r="B84">
        <v>79</v>
      </c>
    </row>
    <row r="85" spans="2:2" x14ac:dyDescent="0.3">
      <c r="B85">
        <v>80</v>
      </c>
    </row>
    <row r="86" spans="2:2" x14ac:dyDescent="0.3">
      <c r="B86">
        <v>81</v>
      </c>
    </row>
    <row r="87" spans="2:2" x14ac:dyDescent="0.3">
      <c r="B87">
        <v>82</v>
      </c>
    </row>
    <row r="88" spans="2:2" x14ac:dyDescent="0.3">
      <c r="B88">
        <v>83</v>
      </c>
    </row>
    <row r="89" spans="2:2" x14ac:dyDescent="0.3">
      <c r="B89">
        <v>84</v>
      </c>
    </row>
    <row r="90" spans="2:2" x14ac:dyDescent="0.3">
      <c r="B90">
        <v>85</v>
      </c>
    </row>
    <row r="91" spans="2:2" x14ac:dyDescent="0.3">
      <c r="B91">
        <v>86</v>
      </c>
    </row>
    <row r="92" spans="2:2" x14ac:dyDescent="0.3">
      <c r="B92">
        <v>87</v>
      </c>
    </row>
    <row r="93" spans="2:2" x14ac:dyDescent="0.3">
      <c r="B93">
        <v>88</v>
      </c>
    </row>
    <row r="94" spans="2:2" x14ac:dyDescent="0.3">
      <c r="B94">
        <v>89</v>
      </c>
    </row>
    <row r="95" spans="2:2" x14ac:dyDescent="0.3">
      <c r="B95">
        <v>90</v>
      </c>
    </row>
    <row r="96" spans="2:2" x14ac:dyDescent="0.3">
      <c r="B96">
        <v>91</v>
      </c>
    </row>
    <row r="97" spans="2:2" x14ac:dyDescent="0.3">
      <c r="B97">
        <v>92</v>
      </c>
    </row>
    <row r="98" spans="2:2" x14ac:dyDescent="0.3">
      <c r="B98">
        <v>93</v>
      </c>
    </row>
    <row r="99" spans="2:2" x14ac:dyDescent="0.3">
      <c r="B99">
        <v>94</v>
      </c>
    </row>
    <row r="100" spans="2:2" x14ac:dyDescent="0.3">
      <c r="B100">
        <v>95</v>
      </c>
    </row>
    <row r="101" spans="2:2" x14ac:dyDescent="0.3">
      <c r="B101">
        <v>96</v>
      </c>
    </row>
    <row r="102" spans="2:2" x14ac:dyDescent="0.3">
      <c r="B102">
        <v>97</v>
      </c>
    </row>
    <row r="103" spans="2:2" x14ac:dyDescent="0.3">
      <c r="B103">
        <v>98</v>
      </c>
    </row>
    <row r="104" spans="2:2" x14ac:dyDescent="0.3">
      <c r="B104">
        <v>99</v>
      </c>
    </row>
    <row r="105" spans="2:2" x14ac:dyDescent="0.3">
      <c r="B105">
        <v>100</v>
      </c>
    </row>
    <row r="106" spans="2:2" x14ac:dyDescent="0.3">
      <c r="B106">
        <v>101</v>
      </c>
    </row>
    <row r="107" spans="2:2" x14ac:dyDescent="0.3">
      <c r="B107">
        <v>102</v>
      </c>
    </row>
    <row r="108" spans="2:2" x14ac:dyDescent="0.3">
      <c r="B108">
        <v>103</v>
      </c>
    </row>
    <row r="109" spans="2:2" x14ac:dyDescent="0.3">
      <c r="B109">
        <v>104</v>
      </c>
    </row>
    <row r="110" spans="2:2" x14ac:dyDescent="0.3">
      <c r="B110">
        <v>105</v>
      </c>
    </row>
    <row r="111" spans="2:2" x14ac:dyDescent="0.3">
      <c r="B111">
        <v>106</v>
      </c>
    </row>
    <row r="112" spans="2:2" x14ac:dyDescent="0.3">
      <c r="B112">
        <v>107</v>
      </c>
    </row>
    <row r="113" spans="2:2" x14ac:dyDescent="0.3">
      <c r="B113">
        <v>108</v>
      </c>
    </row>
    <row r="114" spans="2:2" x14ac:dyDescent="0.3">
      <c r="B114">
        <v>109</v>
      </c>
    </row>
    <row r="115" spans="2:2" x14ac:dyDescent="0.3">
      <c r="B115">
        <v>110</v>
      </c>
    </row>
    <row r="116" spans="2:2" x14ac:dyDescent="0.3">
      <c r="B116">
        <v>111</v>
      </c>
    </row>
    <row r="117" spans="2:2" x14ac:dyDescent="0.3">
      <c r="B117">
        <v>112</v>
      </c>
    </row>
    <row r="118" spans="2:2" x14ac:dyDescent="0.3">
      <c r="B118">
        <v>113</v>
      </c>
    </row>
    <row r="119" spans="2:2" x14ac:dyDescent="0.3">
      <c r="B119">
        <v>114</v>
      </c>
    </row>
    <row r="120" spans="2:2" x14ac:dyDescent="0.3">
      <c r="B120">
        <v>115</v>
      </c>
    </row>
    <row r="121" spans="2:2" x14ac:dyDescent="0.3">
      <c r="B121">
        <v>116</v>
      </c>
    </row>
    <row r="122" spans="2:2" x14ac:dyDescent="0.3">
      <c r="B122">
        <v>117</v>
      </c>
    </row>
    <row r="123" spans="2:2" x14ac:dyDescent="0.3">
      <c r="B123">
        <v>118</v>
      </c>
    </row>
    <row r="124" spans="2:2" x14ac:dyDescent="0.3">
      <c r="B124">
        <v>119</v>
      </c>
    </row>
    <row r="125" spans="2:2" x14ac:dyDescent="0.3">
      <c r="B125">
        <v>120</v>
      </c>
    </row>
    <row r="126" spans="2:2" x14ac:dyDescent="0.3">
      <c r="B126">
        <v>121</v>
      </c>
    </row>
    <row r="127" spans="2:2" x14ac:dyDescent="0.3">
      <c r="B127">
        <v>122</v>
      </c>
    </row>
    <row r="128" spans="2:2" x14ac:dyDescent="0.3">
      <c r="B128">
        <v>123</v>
      </c>
    </row>
    <row r="129" spans="2:2" x14ac:dyDescent="0.3">
      <c r="B129">
        <v>124</v>
      </c>
    </row>
    <row r="130" spans="2:2" x14ac:dyDescent="0.3">
      <c r="B130">
        <v>125</v>
      </c>
    </row>
    <row r="131" spans="2:2" x14ac:dyDescent="0.3">
      <c r="B131">
        <v>126</v>
      </c>
    </row>
    <row r="132" spans="2:2" x14ac:dyDescent="0.3">
      <c r="B132">
        <v>127</v>
      </c>
    </row>
    <row r="133" spans="2:2" x14ac:dyDescent="0.3">
      <c r="B133">
        <v>128</v>
      </c>
    </row>
    <row r="134" spans="2:2" x14ac:dyDescent="0.3">
      <c r="B134">
        <v>129</v>
      </c>
    </row>
    <row r="135" spans="2:2" x14ac:dyDescent="0.3">
      <c r="B135">
        <v>130</v>
      </c>
    </row>
    <row r="136" spans="2:2" x14ac:dyDescent="0.3">
      <c r="B136">
        <v>131</v>
      </c>
    </row>
    <row r="137" spans="2:2" x14ac:dyDescent="0.3">
      <c r="B137">
        <v>132</v>
      </c>
    </row>
    <row r="138" spans="2:2" x14ac:dyDescent="0.3">
      <c r="B138">
        <v>133</v>
      </c>
    </row>
    <row r="139" spans="2:2" x14ac:dyDescent="0.3">
      <c r="B139">
        <v>134</v>
      </c>
    </row>
    <row r="140" spans="2:2" x14ac:dyDescent="0.3">
      <c r="B140">
        <v>135</v>
      </c>
    </row>
    <row r="141" spans="2:2" x14ac:dyDescent="0.3">
      <c r="B141">
        <v>136</v>
      </c>
    </row>
    <row r="142" spans="2:2" x14ac:dyDescent="0.3">
      <c r="B142">
        <v>137</v>
      </c>
    </row>
    <row r="143" spans="2:2" x14ac:dyDescent="0.3">
      <c r="B143">
        <v>138</v>
      </c>
    </row>
    <row r="144" spans="2:2" x14ac:dyDescent="0.3">
      <c r="B144">
        <v>139</v>
      </c>
    </row>
    <row r="145" spans="1:5" x14ac:dyDescent="0.3">
      <c r="B145">
        <v>140</v>
      </c>
    </row>
    <row r="146" spans="1:5" x14ac:dyDescent="0.3">
      <c r="B146">
        <v>141</v>
      </c>
    </row>
    <row r="147" spans="1:5" x14ac:dyDescent="0.3">
      <c r="B147">
        <v>142</v>
      </c>
    </row>
    <row r="148" spans="1:5" x14ac:dyDescent="0.3">
      <c r="B148">
        <v>143</v>
      </c>
    </row>
    <row r="149" spans="1:5" x14ac:dyDescent="0.3">
      <c r="B149">
        <v>144</v>
      </c>
    </row>
    <row r="150" spans="1:5" x14ac:dyDescent="0.3">
      <c r="B150">
        <v>145</v>
      </c>
    </row>
    <row r="151" spans="1:5" x14ac:dyDescent="0.3">
      <c r="A151">
        <v>1</v>
      </c>
      <c r="B151">
        <v>146</v>
      </c>
      <c r="C151" s="2">
        <v>100</v>
      </c>
    </row>
    <row r="152" spans="1:5" x14ac:dyDescent="0.3">
      <c r="A152">
        <v>2</v>
      </c>
      <c r="B152">
        <v>147</v>
      </c>
      <c r="C152" s="2">
        <v>100</v>
      </c>
    </row>
    <row r="153" spans="1:5" x14ac:dyDescent="0.3">
      <c r="A153">
        <v>3</v>
      </c>
      <c r="B153">
        <v>148</v>
      </c>
      <c r="C153" s="2">
        <v>100</v>
      </c>
    </row>
    <row r="154" spans="1:5" x14ac:dyDescent="0.3">
      <c r="A154">
        <v>4</v>
      </c>
      <c r="B154">
        <v>149</v>
      </c>
      <c r="C154" s="2">
        <f t="shared" ref="C154:C162" si="0">(D154/E154)*100</f>
        <v>95.876288659793829</v>
      </c>
      <c r="D154">
        <v>4.6500000000000004</v>
      </c>
      <c r="E154">
        <v>4.8499999999999996</v>
      </c>
    </row>
    <row r="155" spans="1:5" x14ac:dyDescent="0.3">
      <c r="A155">
        <v>5</v>
      </c>
      <c r="B155">
        <v>150</v>
      </c>
      <c r="C155" s="2">
        <f t="shared" si="0"/>
        <v>93.814432989690715</v>
      </c>
      <c r="D155">
        <v>4.55</v>
      </c>
      <c r="E155">
        <v>4.8499999999999996</v>
      </c>
    </row>
    <row r="156" spans="1:5" x14ac:dyDescent="0.3">
      <c r="A156">
        <v>6</v>
      </c>
      <c r="B156">
        <v>151</v>
      </c>
      <c r="C156" s="2">
        <f t="shared" si="0"/>
        <v>86.597938144329916</v>
      </c>
      <c r="D156">
        <v>4.2</v>
      </c>
      <c r="E156">
        <v>4.8499999999999996</v>
      </c>
    </row>
    <row r="157" spans="1:5" x14ac:dyDescent="0.3">
      <c r="A157">
        <v>7</v>
      </c>
      <c r="B157">
        <v>152</v>
      </c>
      <c r="C157" s="2">
        <f t="shared" si="0"/>
        <v>84.536082474226802</v>
      </c>
      <c r="D157">
        <v>4.0999999999999996</v>
      </c>
      <c r="E157">
        <v>4.8499999999999996</v>
      </c>
    </row>
    <row r="158" spans="1:5" x14ac:dyDescent="0.3">
      <c r="A158">
        <v>8</v>
      </c>
      <c r="B158">
        <v>153</v>
      </c>
      <c r="C158" s="2">
        <f t="shared" si="0"/>
        <v>80.412371134020617</v>
      </c>
      <c r="D158">
        <v>3.9</v>
      </c>
      <c r="E158">
        <v>4.8499999999999996</v>
      </c>
    </row>
    <row r="159" spans="1:5" x14ac:dyDescent="0.3">
      <c r="A159">
        <v>9</v>
      </c>
      <c r="B159">
        <v>154</v>
      </c>
      <c r="C159" s="2">
        <f t="shared" si="0"/>
        <v>78.86597938144331</v>
      </c>
      <c r="D159">
        <f>(3.75+3.9)/2</f>
        <v>3.8250000000000002</v>
      </c>
      <c r="E159">
        <v>4.8499999999999996</v>
      </c>
    </row>
    <row r="160" spans="1:5" x14ac:dyDescent="0.3">
      <c r="A160">
        <v>10</v>
      </c>
      <c r="B160">
        <v>155</v>
      </c>
      <c r="C160" s="2">
        <f t="shared" si="0"/>
        <v>76.288659793814446</v>
      </c>
      <c r="D160">
        <v>3.7</v>
      </c>
      <c r="E160">
        <v>4.8499999999999996</v>
      </c>
    </row>
    <row r="161" spans="1:5" x14ac:dyDescent="0.3">
      <c r="A161">
        <v>11</v>
      </c>
      <c r="B161">
        <v>156</v>
      </c>
      <c r="C161" s="2">
        <f t="shared" si="0"/>
        <v>72.164948453608261</v>
      </c>
      <c r="D161">
        <v>3.5</v>
      </c>
      <c r="E161">
        <v>4.8499999999999996</v>
      </c>
    </row>
    <row r="162" spans="1:5" x14ac:dyDescent="0.3">
      <c r="A162">
        <v>12</v>
      </c>
      <c r="B162">
        <v>157</v>
      </c>
      <c r="C162" s="2">
        <f t="shared" si="0"/>
        <v>70.103092783505161</v>
      </c>
      <c r="D162">
        <v>3.4</v>
      </c>
      <c r="E162">
        <v>4.8499999999999996</v>
      </c>
    </row>
    <row r="163" spans="1:5" x14ac:dyDescent="0.3">
      <c r="A163">
        <v>13</v>
      </c>
      <c r="B163">
        <v>158</v>
      </c>
    </row>
    <row r="164" spans="1:5" x14ac:dyDescent="0.3">
      <c r="A164">
        <v>14</v>
      </c>
      <c r="B164">
        <v>159</v>
      </c>
    </row>
    <row r="165" spans="1:5" x14ac:dyDescent="0.3">
      <c r="A165">
        <v>15</v>
      </c>
      <c r="B165">
        <v>160</v>
      </c>
      <c r="C165" s="2">
        <f>(D165/E165)*100</f>
        <v>65.979381443298976</v>
      </c>
      <c r="D165">
        <v>3.2</v>
      </c>
      <c r="E165">
        <v>4.8499999999999996</v>
      </c>
    </row>
    <row r="166" spans="1:5" x14ac:dyDescent="0.3">
      <c r="A166">
        <v>16</v>
      </c>
      <c r="B166">
        <v>161</v>
      </c>
    </row>
    <row r="167" spans="1:5" x14ac:dyDescent="0.3">
      <c r="A167">
        <v>17</v>
      </c>
      <c r="B167">
        <v>162</v>
      </c>
      <c r="C167" s="2">
        <f>(D167/E167)*100</f>
        <v>59.793814432989691</v>
      </c>
      <c r="D167">
        <v>2.9</v>
      </c>
      <c r="E167">
        <v>4.8499999999999996</v>
      </c>
    </row>
    <row r="168" spans="1:5" x14ac:dyDescent="0.3">
      <c r="A168">
        <v>18</v>
      </c>
      <c r="B168">
        <v>163</v>
      </c>
    </row>
    <row r="169" spans="1:5" x14ac:dyDescent="0.3">
      <c r="A169">
        <v>19</v>
      </c>
      <c r="B169">
        <v>164</v>
      </c>
    </row>
    <row r="170" spans="1:5" x14ac:dyDescent="0.3">
      <c r="A170">
        <v>20</v>
      </c>
      <c r="B170">
        <v>165</v>
      </c>
      <c r="C170" s="2">
        <f>(D170/E170)*100</f>
        <v>54.639175257731964</v>
      </c>
      <c r="D170">
        <v>2.65</v>
      </c>
      <c r="E170">
        <v>4.8499999999999996</v>
      </c>
    </row>
    <row r="171" spans="1:5" x14ac:dyDescent="0.3">
      <c r="A171">
        <v>21</v>
      </c>
      <c r="B171">
        <v>166</v>
      </c>
    </row>
    <row r="172" spans="1:5" x14ac:dyDescent="0.3">
      <c r="A172">
        <v>22</v>
      </c>
      <c r="B172">
        <v>167</v>
      </c>
    </row>
    <row r="173" spans="1:5" x14ac:dyDescent="0.3">
      <c r="A173">
        <v>23</v>
      </c>
      <c r="B173">
        <v>168</v>
      </c>
      <c r="C173" s="2">
        <f>(D173/E173)*100</f>
        <v>52.577319587628871</v>
      </c>
      <c r="D173">
        <v>2.5499999999999998</v>
      </c>
      <c r="E173">
        <v>4.8499999999999996</v>
      </c>
    </row>
    <row r="174" spans="1:5" x14ac:dyDescent="0.3">
      <c r="A174">
        <v>24</v>
      </c>
      <c r="B174">
        <v>169</v>
      </c>
    </row>
    <row r="175" spans="1:5" x14ac:dyDescent="0.3">
      <c r="A175">
        <v>25</v>
      </c>
      <c r="B175">
        <v>170</v>
      </c>
    </row>
    <row r="176" spans="1:5" x14ac:dyDescent="0.3">
      <c r="A176">
        <v>26</v>
      </c>
      <c r="B176">
        <v>171</v>
      </c>
      <c r="C176" s="2">
        <v>50</v>
      </c>
    </row>
    <row r="177" spans="1:5" x14ac:dyDescent="0.3">
      <c r="A177">
        <v>27</v>
      </c>
      <c r="B177">
        <v>172</v>
      </c>
    </row>
    <row r="178" spans="1:5" x14ac:dyDescent="0.3">
      <c r="A178">
        <v>28</v>
      </c>
      <c r="B178">
        <v>173</v>
      </c>
    </row>
    <row r="179" spans="1:5" x14ac:dyDescent="0.3">
      <c r="A179">
        <v>29</v>
      </c>
      <c r="B179">
        <v>174</v>
      </c>
    </row>
    <row r="180" spans="1:5" x14ac:dyDescent="0.3">
      <c r="A180">
        <v>30</v>
      </c>
      <c r="B180">
        <v>175</v>
      </c>
    </row>
    <row r="181" spans="1:5" x14ac:dyDescent="0.3">
      <c r="A181">
        <v>31</v>
      </c>
      <c r="B181">
        <v>176</v>
      </c>
    </row>
    <row r="182" spans="1:5" x14ac:dyDescent="0.3">
      <c r="A182">
        <v>32</v>
      </c>
      <c r="B182">
        <v>177</v>
      </c>
      <c r="C182" s="2">
        <f>(D182/E182)*100</f>
        <v>43.298969072164958</v>
      </c>
      <c r="D182">
        <v>2.1</v>
      </c>
      <c r="E182">
        <v>4.8499999999999996</v>
      </c>
    </row>
    <row r="183" spans="1:5" x14ac:dyDescent="0.3">
      <c r="A183">
        <v>33</v>
      </c>
      <c r="B183">
        <v>178</v>
      </c>
    </row>
    <row r="184" spans="1:5" x14ac:dyDescent="0.3">
      <c r="A184">
        <v>34</v>
      </c>
      <c r="B184">
        <v>179</v>
      </c>
    </row>
    <row r="185" spans="1:5" x14ac:dyDescent="0.3">
      <c r="A185">
        <v>35</v>
      </c>
      <c r="B185">
        <v>180</v>
      </c>
    </row>
    <row r="186" spans="1:5" x14ac:dyDescent="0.3">
      <c r="A186">
        <v>36</v>
      </c>
      <c r="B186">
        <v>181</v>
      </c>
    </row>
    <row r="187" spans="1:5" x14ac:dyDescent="0.3">
      <c r="A187">
        <v>37</v>
      </c>
      <c r="B187">
        <v>182</v>
      </c>
    </row>
    <row r="188" spans="1:5" x14ac:dyDescent="0.3">
      <c r="A188">
        <v>38</v>
      </c>
      <c r="B188">
        <v>183</v>
      </c>
    </row>
    <row r="189" spans="1:5" x14ac:dyDescent="0.3">
      <c r="A189">
        <v>39</v>
      </c>
      <c r="B189">
        <v>184</v>
      </c>
      <c r="C189" s="2">
        <f>(25+50)/2</f>
        <v>37.5</v>
      </c>
    </row>
    <row r="190" spans="1:5" x14ac:dyDescent="0.3">
      <c r="A190">
        <v>40</v>
      </c>
      <c r="B190">
        <v>185</v>
      </c>
    </row>
    <row r="191" spans="1:5" x14ac:dyDescent="0.3">
      <c r="A191">
        <v>41</v>
      </c>
      <c r="B191">
        <v>186</v>
      </c>
    </row>
    <row r="192" spans="1:5" x14ac:dyDescent="0.3">
      <c r="A192">
        <v>42</v>
      </c>
      <c r="B192">
        <v>187</v>
      </c>
    </row>
    <row r="193" spans="1:5" x14ac:dyDescent="0.3">
      <c r="A193">
        <v>43</v>
      </c>
      <c r="B193">
        <v>188</v>
      </c>
    </row>
    <row r="194" spans="1:5" x14ac:dyDescent="0.3">
      <c r="A194">
        <v>44</v>
      </c>
      <c r="B194">
        <v>189</v>
      </c>
    </row>
    <row r="195" spans="1:5" x14ac:dyDescent="0.3">
      <c r="A195">
        <v>45</v>
      </c>
      <c r="B195">
        <v>190</v>
      </c>
    </row>
    <row r="196" spans="1:5" x14ac:dyDescent="0.3">
      <c r="A196">
        <v>46</v>
      </c>
      <c r="B196">
        <v>191</v>
      </c>
    </row>
    <row r="197" spans="1:5" x14ac:dyDescent="0.3">
      <c r="A197">
        <v>47</v>
      </c>
      <c r="B197">
        <v>192</v>
      </c>
      <c r="C197" s="2">
        <f>(D197/E197)*100</f>
        <v>31.958762886597942</v>
      </c>
      <c r="D197">
        <v>1.55</v>
      </c>
      <c r="E197">
        <v>4.8499999999999996</v>
      </c>
    </row>
    <row r="198" spans="1:5" x14ac:dyDescent="0.3">
      <c r="A198">
        <v>48</v>
      </c>
      <c r="B198">
        <v>193</v>
      </c>
    </row>
    <row r="199" spans="1:5" x14ac:dyDescent="0.3">
      <c r="A199">
        <v>49</v>
      </c>
      <c r="B199">
        <v>194</v>
      </c>
    </row>
    <row r="200" spans="1:5" x14ac:dyDescent="0.3">
      <c r="A200">
        <v>50</v>
      </c>
      <c r="B200">
        <v>195</v>
      </c>
    </row>
    <row r="201" spans="1:5" x14ac:dyDescent="0.3">
      <c r="A201">
        <v>51</v>
      </c>
      <c r="B201">
        <v>196</v>
      </c>
    </row>
    <row r="202" spans="1:5" x14ac:dyDescent="0.3">
      <c r="A202">
        <v>52</v>
      </c>
      <c r="B202">
        <v>197</v>
      </c>
    </row>
    <row r="203" spans="1:5" x14ac:dyDescent="0.3">
      <c r="A203">
        <v>53</v>
      </c>
      <c r="B203">
        <v>198</v>
      </c>
    </row>
    <row r="204" spans="1:5" x14ac:dyDescent="0.3">
      <c r="A204">
        <v>54</v>
      </c>
      <c r="B204">
        <v>199</v>
      </c>
    </row>
    <row r="205" spans="1:5" x14ac:dyDescent="0.3">
      <c r="A205">
        <v>55</v>
      </c>
      <c r="B205">
        <v>200</v>
      </c>
    </row>
    <row r="206" spans="1:5" x14ac:dyDescent="0.3">
      <c r="A206">
        <v>56</v>
      </c>
      <c r="B206">
        <v>201</v>
      </c>
      <c r="C206" s="2">
        <v>25</v>
      </c>
    </row>
    <row r="207" spans="1:5" x14ac:dyDescent="0.3">
      <c r="A207">
        <v>57</v>
      </c>
      <c r="B207">
        <v>202</v>
      </c>
    </row>
    <row r="208" spans="1:5" x14ac:dyDescent="0.3">
      <c r="A208">
        <v>58</v>
      </c>
      <c r="B208">
        <v>203</v>
      </c>
    </row>
    <row r="209" spans="1:5" x14ac:dyDescent="0.3">
      <c r="A209">
        <v>59</v>
      </c>
      <c r="B209">
        <v>204</v>
      </c>
    </row>
    <row r="210" spans="1:5" x14ac:dyDescent="0.3">
      <c r="A210">
        <v>60</v>
      </c>
      <c r="B210">
        <v>205</v>
      </c>
    </row>
    <row r="211" spans="1:5" x14ac:dyDescent="0.3">
      <c r="A211">
        <v>61</v>
      </c>
      <c r="B211">
        <v>206</v>
      </c>
    </row>
    <row r="212" spans="1:5" x14ac:dyDescent="0.3">
      <c r="A212">
        <v>62</v>
      </c>
      <c r="B212">
        <v>207</v>
      </c>
    </row>
    <row r="213" spans="1:5" x14ac:dyDescent="0.3">
      <c r="A213">
        <v>63</v>
      </c>
      <c r="B213">
        <v>208</v>
      </c>
      <c r="C213" s="2">
        <f>(D213/E213)*100</f>
        <v>19.587628865979383</v>
      </c>
      <c r="D213">
        <v>0.95</v>
      </c>
      <c r="E213">
        <v>4.8499999999999996</v>
      </c>
    </row>
    <row r="214" spans="1:5" x14ac:dyDescent="0.3">
      <c r="A214">
        <v>64</v>
      </c>
      <c r="B214">
        <v>209</v>
      </c>
    </row>
    <row r="215" spans="1:5" x14ac:dyDescent="0.3">
      <c r="A215">
        <v>65</v>
      </c>
      <c r="B215">
        <v>210</v>
      </c>
    </row>
    <row r="216" spans="1:5" x14ac:dyDescent="0.3">
      <c r="A216">
        <v>66</v>
      </c>
      <c r="B216">
        <v>211</v>
      </c>
    </row>
    <row r="217" spans="1:5" x14ac:dyDescent="0.3">
      <c r="A217">
        <v>67</v>
      </c>
      <c r="B217">
        <v>212</v>
      </c>
    </row>
    <row r="218" spans="1:5" x14ac:dyDescent="0.3">
      <c r="A218">
        <v>68</v>
      </c>
      <c r="B218">
        <v>213</v>
      </c>
    </row>
    <row r="219" spans="1:5" x14ac:dyDescent="0.3">
      <c r="A219">
        <v>69</v>
      </c>
      <c r="B219">
        <v>214</v>
      </c>
    </row>
    <row r="220" spans="1:5" x14ac:dyDescent="0.3">
      <c r="A220">
        <v>70</v>
      </c>
      <c r="B220">
        <v>215</v>
      </c>
    </row>
    <row r="221" spans="1:5" x14ac:dyDescent="0.3">
      <c r="A221">
        <v>71</v>
      </c>
      <c r="B221">
        <v>216</v>
      </c>
    </row>
    <row r="222" spans="1:5" x14ac:dyDescent="0.3">
      <c r="A222">
        <v>72</v>
      </c>
      <c r="B222">
        <v>217</v>
      </c>
    </row>
    <row r="223" spans="1:5" x14ac:dyDescent="0.3">
      <c r="A223">
        <v>73</v>
      </c>
      <c r="B223">
        <v>218</v>
      </c>
      <c r="C223" s="2">
        <v>12.5</v>
      </c>
    </row>
    <row r="224" spans="1:5" x14ac:dyDescent="0.3">
      <c r="A224">
        <v>74</v>
      </c>
      <c r="B224">
        <v>219</v>
      </c>
    </row>
    <row r="225" spans="1:5" x14ac:dyDescent="0.3">
      <c r="A225">
        <v>75</v>
      </c>
      <c r="B225">
        <v>220</v>
      </c>
    </row>
    <row r="226" spans="1:5" x14ac:dyDescent="0.3">
      <c r="A226">
        <v>76</v>
      </c>
      <c r="B226">
        <v>221</v>
      </c>
    </row>
    <row r="227" spans="1:5" x14ac:dyDescent="0.3">
      <c r="A227">
        <v>77</v>
      </c>
      <c r="B227">
        <v>222</v>
      </c>
    </row>
    <row r="228" spans="1:5" x14ac:dyDescent="0.3">
      <c r="A228">
        <v>78</v>
      </c>
      <c r="B228">
        <v>223</v>
      </c>
    </row>
    <row r="229" spans="1:5" x14ac:dyDescent="0.3">
      <c r="A229">
        <v>79</v>
      </c>
      <c r="B229">
        <v>224</v>
      </c>
    </row>
    <row r="230" spans="1:5" x14ac:dyDescent="0.3">
      <c r="A230">
        <v>80</v>
      </c>
      <c r="B230">
        <v>225</v>
      </c>
    </row>
    <row r="231" spans="1:5" x14ac:dyDescent="0.3">
      <c r="A231">
        <v>81</v>
      </c>
      <c r="B231">
        <v>226</v>
      </c>
      <c r="C231" s="2">
        <v>0</v>
      </c>
    </row>
    <row r="232" spans="1:5" x14ac:dyDescent="0.3">
      <c r="A232">
        <v>82</v>
      </c>
      <c r="B232">
        <v>227</v>
      </c>
      <c r="C232" s="2">
        <v>0</v>
      </c>
    </row>
    <row r="233" spans="1:5" x14ac:dyDescent="0.3">
      <c r="A233">
        <v>83</v>
      </c>
      <c r="B233">
        <v>228</v>
      </c>
      <c r="C233" s="2">
        <v>0</v>
      </c>
      <c r="E233">
        <f>A233/2</f>
        <v>41.5</v>
      </c>
    </row>
    <row r="234" spans="1:5" x14ac:dyDescent="0.3">
      <c r="A234">
        <v>84</v>
      </c>
      <c r="B234">
        <v>229</v>
      </c>
    </row>
    <row r="235" spans="1:5" x14ac:dyDescent="0.3">
      <c r="A235">
        <v>85</v>
      </c>
      <c r="B235">
        <v>230</v>
      </c>
    </row>
    <row r="236" spans="1:5" x14ac:dyDescent="0.3">
      <c r="A236">
        <v>86</v>
      </c>
      <c r="B236">
        <v>231</v>
      </c>
    </row>
    <row r="237" spans="1:5" x14ac:dyDescent="0.3">
      <c r="A237">
        <v>87</v>
      </c>
      <c r="B237">
        <v>232</v>
      </c>
    </row>
    <row r="238" spans="1:5" x14ac:dyDescent="0.3">
      <c r="A238">
        <v>88</v>
      </c>
      <c r="B238">
        <v>233</v>
      </c>
    </row>
    <row r="239" spans="1:5" x14ac:dyDescent="0.3">
      <c r="A239">
        <v>89</v>
      </c>
      <c r="B239">
        <v>234</v>
      </c>
    </row>
    <row r="240" spans="1:5" x14ac:dyDescent="0.3">
      <c r="A240">
        <v>90</v>
      </c>
      <c r="B240">
        <v>235</v>
      </c>
    </row>
    <row r="241" spans="2:2" x14ac:dyDescent="0.3">
      <c r="B241">
        <v>236</v>
      </c>
    </row>
    <row r="242" spans="2:2" x14ac:dyDescent="0.3">
      <c r="B242">
        <v>237</v>
      </c>
    </row>
    <row r="243" spans="2:2" x14ac:dyDescent="0.3">
      <c r="B243">
        <v>238</v>
      </c>
    </row>
    <row r="244" spans="2:2" x14ac:dyDescent="0.3">
      <c r="B244">
        <v>239</v>
      </c>
    </row>
    <row r="245" spans="2:2" x14ac:dyDescent="0.3">
      <c r="B245">
        <v>240</v>
      </c>
    </row>
    <row r="246" spans="2:2" x14ac:dyDescent="0.3">
      <c r="B246">
        <v>241</v>
      </c>
    </row>
    <row r="247" spans="2:2" x14ac:dyDescent="0.3">
      <c r="B247">
        <v>242</v>
      </c>
    </row>
    <row r="248" spans="2:2" x14ac:dyDescent="0.3">
      <c r="B248">
        <v>243</v>
      </c>
    </row>
    <row r="249" spans="2:2" x14ac:dyDescent="0.3">
      <c r="B249">
        <v>244</v>
      </c>
    </row>
    <row r="250" spans="2:2" x14ac:dyDescent="0.3">
      <c r="B250">
        <v>245</v>
      </c>
    </row>
    <row r="251" spans="2:2" x14ac:dyDescent="0.3">
      <c r="B251">
        <v>246</v>
      </c>
    </row>
    <row r="252" spans="2:2" x14ac:dyDescent="0.3">
      <c r="B252">
        <v>247</v>
      </c>
    </row>
    <row r="253" spans="2:2" x14ac:dyDescent="0.3">
      <c r="B253">
        <v>248</v>
      </c>
    </row>
    <row r="254" spans="2:2" x14ac:dyDescent="0.3">
      <c r="B254">
        <v>249</v>
      </c>
    </row>
    <row r="255" spans="2:2" x14ac:dyDescent="0.3">
      <c r="B255">
        <v>250</v>
      </c>
    </row>
    <row r="256" spans="2:2" x14ac:dyDescent="0.3">
      <c r="B256">
        <v>251</v>
      </c>
    </row>
    <row r="257" spans="2:2" x14ac:dyDescent="0.3">
      <c r="B257">
        <v>252</v>
      </c>
    </row>
    <row r="258" spans="2:2" x14ac:dyDescent="0.3">
      <c r="B258">
        <v>253</v>
      </c>
    </row>
    <row r="259" spans="2:2" x14ac:dyDescent="0.3">
      <c r="B259">
        <v>254</v>
      </c>
    </row>
    <row r="260" spans="2:2" x14ac:dyDescent="0.3">
      <c r="B260">
        <v>255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7C86D-302F-413A-8A67-7FD7FD05B33F}">
  <sheetPr codeName="Tabelle3"/>
  <dimension ref="A1:M292"/>
  <sheetViews>
    <sheetView tabSelected="1" topLeftCell="A154" zoomScale="80" zoomScaleNormal="80" workbookViewId="0">
      <selection activeCell="AB198" sqref="AB198"/>
    </sheetView>
  </sheetViews>
  <sheetFormatPr baseColWidth="10" defaultRowHeight="14.4" x14ac:dyDescent="0.3"/>
  <cols>
    <col min="2" max="2" width="16.88671875" bestFit="1" customWidth="1"/>
    <col min="3" max="3" width="11.5546875" style="2"/>
    <col min="7" max="7" width="14" bestFit="1" customWidth="1"/>
    <col min="8" max="8" width="12" bestFit="1" customWidth="1"/>
    <col min="9" max="9" width="13.88671875" bestFit="1" customWidth="1"/>
    <col min="12" max="12" width="9" bestFit="1" customWidth="1"/>
  </cols>
  <sheetData>
    <row r="1" spans="2:2" x14ac:dyDescent="0.3">
      <c r="B1" t="s">
        <v>4</v>
      </c>
    </row>
    <row r="2" spans="2:2" x14ac:dyDescent="0.3">
      <c r="B2" t="s">
        <v>5</v>
      </c>
    </row>
    <row r="4" spans="2:2" x14ac:dyDescent="0.3">
      <c r="B4" t="s">
        <v>3</v>
      </c>
    </row>
    <row r="5" spans="2:2" x14ac:dyDescent="0.3">
      <c r="B5">
        <v>0</v>
      </c>
    </row>
    <row r="6" spans="2:2" x14ac:dyDescent="0.3">
      <c r="B6">
        <v>1</v>
      </c>
    </row>
    <row r="7" spans="2:2" x14ac:dyDescent="0.3">
      <c r="B7">
        <v>2</v>
      </c>
    </row>
    <row r="8" spans="2:2" x14ac:dyDescent="0.3">
      <c r="B8">
        <v>3</v>
      </c>
    </row>
    <row r="9" spans="2:2" x14ac:dyDescent="0.3">
      <c r="B9">
        <v>4</v>
      </c>
    </row>
    <row r="10" spans="2:2" x14ac:dyDescent="0.3">
      <c r="B10">
        <v>5</v>
      </c>
    </row>
    <row r="11" spans="2:2" x14ac:dyDescent="0.3">
      <c r="B11">
        <v>6</v>
      </c>
    </row>
    <row r="12" spans="2:2" x14ac:dyDescent="0.3">
      <c r="B12">
        <v>7</v>
      </c>
    </row>
    <row r="13" spans="2:2" x14ac:dyDescent="0.3">
      <c r="B13">
        <v>8</v>
      </c>
    </row>
    <row r="14" spans="2:2" x14ac:dyDescent="0.3">
      <c r="B14">
        <v>9</v>
      </c>
    </row>
    <row r="15" spans="2:2" x14ac:dyDescent="0.3">
      <c r="B15">
        <v>10</v>
      </c>
    </row>
    <row r="16" spans="2:2" x14ac:dyDescent="0.3">
      <c r="B16">
        <v>11</v>
      </c>
    </row>
    <row r="17" spans="2:2" x14ac:dyDescent="0.3">
      <c r="B17">
        <v>12</v>
      </c>
    </row>
    <row r="18" spans="2:2" x14ac:dyDescent="0.3">
      <c r="B18">
        <v>13</v>
      </c>
    </row>
    <row r="19" spans="2:2" x14ac:dyDescent="0.3">
      <c r="B19">
        <v>14</v>
      </c>
    </row>
    <row r="20" spans="2:2" x14ac:dyDescent="0.3">
      <c r="B20">
        <v>15</v>
      </c>
    </row>
    <row r="21" spans="2:2" x14ac:dyDescent="0.3">
      <c r="B21">
        <v>16</v>
      </c>
    </row>
    <row r="22" spans="2:2" x14ac:dyDescent="0.3">
      <c r="B22">
        <v>17</v>
      </c>
    </row>
    <row r="23" spans="2:2" x14ac:dyDescent="0.3">
      <c r="B23">
        <v>18</v>
      </c>
    </row>
    <row r="24" spans="2:2" x14ac:dyDescent="0.3">
      <c r="B24">
        <v>19</v>
      </c>
    </row>
    <row r="25" spans="2:2" x14ac:dyDescent="0.3">
      <c r="B25">
        <v>20</v>
      </c>
    </row>
    <row r="26" spans="2:2" x14ac:dyDescent="0.3">
      <c r="B26">
        <v>21</v>
      </c>
    </row>
    <row r="27" spans="2:2" x14ac:dyDescent="0.3">
      <c r="B27">
        <v>22</v>
      </c>
    </row>
    <row r="28" spans="2:2" x14ac:dyDescent="0.3">
      <c r="B28">
        <v>23</v>
      </c>
    </row>
    <row r="29" spans="2:2" x14ac:dyDescent="0.3">
      <c r="B29">
        <v>24</v>
      </c>
    </row>
    <row r="30" spans="2:2" x14ac:dyDescent="0.3">
      <c r="B30">
        <v>25</v>
      </c>
    </row>
    <row r="31" spans="2:2" x14ac:dyDescent="0.3">
      <c r="B31">
        <v>26</v>
      </c>
    </row>
    <row r="32" spans="2:2" x14ac:dyDescent="0.3">
      <c r="B32">
        <v>27</v>
      </c>
    </row>
    <row r="33" spans="2:2" x14ac:dyDescent="0.3">
      <c r="B33">
        <v>28</v>
      </c>
    </row>
    <row r="34" spans="2:2" x14ac:dyDescent="0.3">
      <c r="B34">
        <v>29</v>
      </c>
    </row>
    <row r="35" spans="2:2" x14ac:dyDescent="0.3">
      <c r="B35">
        <v>30</v>
      </c>
    </row>
    <row r="36" spans="2:2" x14ac:dyDescent="0.3">
      <c r="B36">
        <v>31</v>
      </c>
    </row>
    <row r="37" spans="2:2" x14ac:dyDescent="0.3">
      <c r="B37">
        <v>32</v>
      </c>
    </row>
    <row r="38" spans="2:2" x14ac:dyDescent="0.3">
      <c r="B38">
        <v>33</v>
      </c>
    </row>
    <row r="39" spans="2:2" x14ac:dyDescent="0.3">
      <c r="B39">
        <v>34</v>
      </c>
    </row>
    <row r="40" spans="2:2" x14ac:dyDescent="0.3">
      <c r="B40">
        <v>35</v>
      </c>
    </row>
    <row r="41" spans="2:2" x14ac:dyDescent="0.3">
      <c r="B41">
        <v>36</v>
      </c>
    </row>
    <row r="42" spans="2:2" x14ac:dyDescent="0.3">
      <c r="B42">
        <v>37</v>
      </c>
    </row>
    <row r="43" spans="2:2" x14ac:dyDescent="0.3">
      <c r="B43">
        <v>38</v>
      </c>
    </row>
    <row r="44" spans="2:2" x14ac:dyDescent="0.3">
      <c r="B44">
        <v>39</v>
      </c>
    </row>
    <row r="45" spans="2:2" x14ac:dyDescent="0.3">
      <c r="B45">
        <v>40</v>
      </c>
    </row>
    <row r="46" spans="2:2" x14ac:dyDescent="0.3">
      <c r="B46">
        <v>41</v>
      </c>
    </row>
    <row r="47" spans="2:2" x14ac:dyDescent="0.3">
      <c r="B47">
        <v>42</v>
      </c>
    </row>
    <row r="48" spans="2:2" x14ac:dyDescent="0.3">
      <c r="B48">
        <v>43</v>
      </c>
    </row>
    <row r="49" spans="2:2" x14ac:dyDescent="0.3">
      <c r="B49">
        <v>44</v>
      </c>
    </row>
    <row r="50" spans="2:2" x14ac:dyDescent="0.3">
      <c r="B50">
        <v>45</v>
      </c>
    </row>
    <row r="51" spans="2:2" x14ac:dyDescent="0.3">
      <c r="B51">
        <v>46</v>
      </c>
    </row>
    <row r="52" spans="2:2" x14ac:dyDescent="0.3">
      <c r="B52">
        <v>47</v>
      </c>
    </row>
    <row r="53" spans="2:2" x14ac:dyDescent="0.3">
      <c r="B53">
        <v>48</v>
      </c>
    </row>
    <row r="54" spans="2:2" x14ac:dyDescent="0.3">
      <c r="B54">
        <v>49</v>
      </c>
    </row>
    <row r="55" spans="2:2" x14ac:dyDescent="0.3">
      <c r="B55">
        <v>50</v>
      </c>
    </row>
    <row r="56" spans="2:2" x14ac:dyDescent="0.3">
      <c r="B56">
        <v>51</v>
      </c>
    </row>
    <row r="57" spans="2:2" x14ac:dyDescent="0.3">
      <c r="B57">
        <v>52</v>
      </c>
    </row>
    <row r="58" spans="2:2" x14ac:dyDescent="0.3">
      <c r="B58">
        <v>53</v>
      </c>
    </row>
    <row r="59" spans="2:2" x14ac:dyDescent="0.3">
      <c r="B59">
        <v>54</v>
      </c>
    </row>
    <row r="60" spans="2:2" x14ac:dyDescent="0.3">
      <c r="B60">
        <v>55</v>
      </c>
    </row>
    <row r="61" spans="2:2" x14ac:dyDescent="0.3">
      <c r="B61">
        <v>56</v>
      </c>
    </row>
    <row r="62" spans="2:2" x14ac:dyDescent="0.3">
      <c r="B62">
        <v>57</v>
      </c>
    </row>
    <row r="63" spans="2:2" x14ac:dyDescent="0.3">
      <c r="B63">
        <v>58</v>
      </c>
    </row>
    <row r="64" spans="2:2" x14ac:dyDescent="0.3">
      <c r="B64">
        <v>59</v>
      </c>
    </row>
    <row r="65" spans="2:2" x14ac:dyDescent="0.3">
      <c r="B65">
        <v>60</v>
      </c>
    </row>
    <row r="66" spans="2:2" x14ac:dyDescent="0.3">
      <c r="B66">
        <v>61</v>
      </c>
    </row>
    <row r="67" spans="2:2" x14ac:dyDescent="0.3">
      <c r="B67">
        <v>62</v>
      </c>
    </row>
    <row r="68" spans="2:2" x14ac:dyDescent="0.3">
      <c r="B68">
        <v>63</v>
      </c>
    </row>
    <row r="69" spans="2:2" x14ac:dyDescent="0.3">
      <c r="B69">
        <v>64</v>
      </c>
    </row>
    <row r="70" spans="2:2" x14ac:dyDescent="0.3">
      <c r="B70">
        <v>65</v>
      </c>
    </row>
    <row r="71" spans="2:2" x14ac:dyDescent="0.3">
      <c r="B71">
        <v>66</v>
      </c>
    </row>
    <row r="72" spans="2:2" x14ac:dyDescent="0.3">
      <c r="B72">
        <v>67</v>
      </c>
    </row>
    <row r="73" spans="2:2" x14ac:dyDescent="0.3">
      <c r="B73">
        <v>68</v>
      </c>
    </row>
    <row r="74" spans="2:2" x14ac:dyDescent="0.3">
      <c r="B74">
        <v>69</v>
      </c>
    </row>
    <row r="75" spans="2:2" x14ac:dyDescent="0.3">
      <c r="B75">
        <v>70</v>
      </c>
    </row>
    <row r="76" spans="2:2" x14ac:dyDescent="0.3">
      <c r="B76">
        <v>71</v>
      </c>
    </row>
    <row r="77" spans="2:2" x14ac:dyDescent="0.3">
      <c r="B77">
        <v>72</v>
      </c>
    </row>
    <row r="78" spans="2:2" x14ac:dyDescent="0.3">
      <c r="B78">
        <v>73</v>
      </c>
    </row>
    <row r="79" spans="2:2" x14ac:dyDescent="0.3">
      <c r="B79">
        <v>74</v>
      </c>
    </row>
    <row r="80" spans="2:2" x14ac:dyDescent="0.3">
      <c r="B80">
        <v>75</v>
      </c>
    </row>
    <row r="81" spans="2:2" x14ac:dyDescent="0.3">
      <c r="B81">
        <v>76</v>
      </c>
    </row>
    <row r="82" spans="2:2" x14ac:dyDescent="0.3">
      <c r="B82">
        <v>77</v>
      </c>
    </row>
    <row r="83" spans="2:2" x14ac:dyDescent="0.3">
      <c r="B83">
        <v>78</v>
      </c>
    </row>
    <row r="84" spans="2:2" x14ac:dyDescent="0.3">
      <c r="B84">
        <v>79</v>
      </c>
    </row>
    <row r="85" spans="2:2" x14ac:dyDescent="0.3">
      <c r="B85">
        <v>80</v>
      </c>
    </row>
    <row r="86" spans="2:2" x14ac:dyDescent="0.3">
      <c r="B86">
        <v>81</v>
      </c>
    </row>
    <row r="87" spans="2:2" x14ac:dyDescent="0.3">
      <c r="B87">
        <v>82</v>
      </c>
    </row>
    <row r="88" spans="2:2" x14ac:dyDescent="0.3">
      <c r="B88">
        <v>83</v>
      </c>
    </row>
    <row r="89" spans="2:2" x14ac:dyDescent="0.3">
      <c r="B89">
        <v>84</v>
      </c>
    </row>
    <row r="90" spans="2:2" x14ac:dyDescent="0.3">
      <c r="B90">
        <v>85</v>
      </c>
    </row>
    <row r="91" spans="2:2" x14ac:dyDescent="0.3">
      <c r="B91">
        <v>86</v>
      </c>
    </row>
    <row r="92" spans="2:2" x14ac:dyDescent="0.3">
      <c r="B92">
        <v>87</v>
      </c>
    </row>
    <row r="93" spans="2:2" x14ac:dyDescent="0.3">
      <c r="B93">
        <v>88</v>
      </c>
    </row>
    <row r="94" spans="2:2" x14ac:dyDescent="0.3">
      <c r="B94">
        <v>89</v>
      </c>
    </row>
    <row r="95" spans="2:2" x14ac:dyDescent="0.3">
      <c r="B95">
        <v>90</v>
      </c>
    </row>
    <row r="96" spans="2:2" x14ac:dyDescent="0.3">
      <c r="B96">
        <v>91</v>
      </c>
    </row>
    <row r="97" spans="2:2" x14ac:dyDescent="0.3">
      <c r="B97">
        <v>92</v>
      </c>
    </row>
    <row r="98" spans="2:2" x14ac:dyDescent="0.3">
      <c r="B98">
        <v>93</v>
      </c>
    </row>
    <row r="99" spans="2:2" x14ac:dyDescent="0.3">
      <c r="B99">
        <v>94</v>
      </c>
    </row>
    <row r="100" spans="2:2" x14ac:dyDescent="0.3">
      <c r="B100">
        <v>95</v>
      </c>
    </row>
    <row r="101" spans="2:2" x14ac:dyDescent="0.3">
      <c r="B101">
        <v>96</v>
      </c>
    </row>
    <row r="102" spans="2:2" x14ac:dyDescent="0.3">
      <c r="B102">
        <v>97</v>
      </c>
    </row>
    <row r="103" spans="2:2" x14ac:dyDescent="0.3">
      <c r="B103">
        <v>98</v>
      </c>
    </row>
    <row r="104" spans="2:2" x14ac:dyDescent="0.3">
      <c r="B104">
        <v>99</v>
      </c>
    </row>
    <row r="105" spans="2:2" x14ac:dyDescent="0.3">
      <c r="B105">
        <v>100</v>
      </c>
    </row>
    <row r="106" spans="2:2" x14ac:dyDescent="0.3">
      <c r="B106">
        <v>101</v>
      </c>
    </row>
    <row r="107" spans="2:2" x14ac:dyDescent="0.3">
      <c r="B107">
        <v>102</v>
      </c>
    </row>
    <row r="108" spans="2:2" x14ac:dyDescent="0.3">
      <c r="B108">
        <v>103</v>
      </c>
    </row>
    <row r="109" spans="2:2" x14ac:dyDescent="0.3">
      <c r="B109">
        <v>104</v>
      </c>
    </row>
    <row r="110" spans="2:2" x14ac:dyDescent="0.3">
      <c r="B110">
        <v>105</v>
      </c>
    </row>
    <row r="111" spans="2:2" x14ac:dyDescent="0.3">
      <c r="B111">
        <v>106</v>
      </c>
    </row>
    <row r="112" spans="2:2" x14ac:dyDescent="0.3">
      <c r="B112">
        <v>107</v>
      </c>
    </row>
    <row r="113" spans="2:2" x14ac:dyDescent="0.3">
      <c r="B113">
        <v>108</v>
      </c>
    </row>
    <row r="114" spans="2:2" x14ac:dyDescent="0.3">
      <c r="B114">
        <v>109</v>
      </c>
    </row>
    <row r="115" spans="2:2" x14ac:dyDescent="0.3">
      <c r="B115">
        <v>110</v>
      </c>
    </row>
    <row r="116" spans="2:2" x14ac:dyDescent="0.3">
      <c r="B116">
        <v>111</v>
      </c>
    </row>
    <row r="117" spans="2:2" x14ac:dyDescent="0.3">
      <c r="B117">
        <v>112</v>
      </c>
    </row>
    <row r="118" spans="2:2" x14ac:dyDescent="0.3">
      <c r="B118">
        <v>113</v>
      </c>
    </row>
    <row r="119" spans="2:2" x14ac:dyDescent="0.3">
      <c r="B119">
        <v>114</v>
      </c>
    </row>
    <row r="120" spans="2:2" x14ac:dyDescent="0.3">
      <c r="B120">
        <v>115</v>
      </c>
    </row>
    <row r="121" spans="2:2" x14ac:dyDescent="0.3">
      <c r="B121">
        <v>116</v>
      </c>
    </row>
    <row r="122" spans="2:2" x14ac:dyDescent="0.3">
      <c r="B122">
        <v>117</v>
      </c>
    </row>
    <row r="123" spans="2:2" x14ac:dyDescent="0.3">
      <c r="B123">
        <v>118</v>
      </c>
    </row>
    <row r="124" spans="2:2" x14ac:dyDescent="0.3">
      <c r="B124">
        <v>119</v>
      </c>
    </row>
    <row r="125" spans="2:2" x14ac:dyDescent="0.3">
      <c r="B125">
        <v>120</v>
      </c>
    </row>
    <row r="126" spans="2:2" x14ac:dyDescent="0.3">
      <c r="B126">
        <v>121</v>
      </c>
    </row>
    <row r="127" spans="2:2" x14ac:dyDescent="0.3">
      <c r="B127">
        <v>122</v>
      </c>
    </row>
    <row r="128" spans="2:2" x14ac:dyDescent="0.3">
      <c r="B128">
        <v>123</v>
      </c>
    </row>
    <row r="129" spans="2:2" x14ac:dyDescent="0.3">
      <c r="B129">
        <v>124</v>
      </c>
    </row>
    <row r="130" spans="2:2" x14ac:dyDescent="0.3">
      <c r="B130">
        <v>125</v>
      </c>
    </row>
    <row r="131" spans="2:2" x14ac:dyDescent="0.3">
      <c r="B131">
        <v>126</v>
      </c>
    </row>
    <row r="132" spans="2:2" x14ac:dyDescent="0.3">
      <c r="B132">
        <v>127</v>
      </c>
    </row>
    <row r="133" spans="2:2" x14ac:dyDescent="0.3">
      <c r="B133">
        <v>128</v>
      </c>
    </row>
    <row r="134" spans="2:2" x14ac:dyDescent="0.3">
      <c r="B134">
        <v>129</v>
      </c>
    </row>
    <row r="135" spans="2:2" x14ac:dyDescent="0.3">
      <c r="B135">
        <v>130</v>
      </c>
    </row>
    <row r="136" spans="2:2" x14ac:dyDescent="0.3">
      <c r="B136">
        <v>131</v>
      </c>
    </row>
    <row r="137" spans="2:2" x14ac:dyDescent="0.3">
      <c r="B137">
        <v>132</v>
      </c>
    </row>
    <row r="138" spans="2:2" x14ac:dyDescent="0.3">
      <c r="B138">
        <v>133</v>
      </c>
    </row>
    <row r="139" spans="2:2" x14ac:dyDescent="0.3">
      <c r="B139">
        <v>134</v>
      </c>
    </row>
    <row r="140" spans="2:2" x14ac:dyDescent="0.3">
      <c r="B140">
        <v>135</v>
      </c>
    </row>
    <row r="141" spans="2:2" x14ac:dyDescent="0.3">
      <c r="B141">
        <v>136</v>
      </c>
    </row>
    <row r="142" spans="2:2" x14ac:dyDescent="0.3">
      <c r="B142">
        <v>137</v>
      </c>
    </row>
    <row r="143" spans="2:2" x14ac:dyDescent="0.3">
      <c r="B143">
        <v>138</v>
      </c>
    </row>
    <row r="144" spans="2:2" x14ac:dyDescent="0.3">
      <c r="B144">
        <v>139</v>
      </c>
    </row>
    <row r="145" spans="1:13" x14ac:dyDescent="0.3">
      <c r="B145">
        <v>140</v>
      </c>
    </row>
    <row r="146" spans="1:13" x14ac:dyDescent="0.3">
      <c r="B146">
        <v>141</v>
      </c>
    </row>
    <row r="147" spans="1:13" x14ac:dyDescent="0.3">
      <c r="B147">
        <v>142</v>
      </c>
    </row>
    <row r="148" spans="1:13" x14ac:dyDescent="0.3">
      <c r="B148">
        <v>143</v>
      </c>
    </row>
    <row r="149" spans="1:13" x14ac:dyDescent="0.3">
      <c r="B149">
        <v>144</v>
      </c>
    </row>
    <row r="150" spans="1:13" x14ac:dyDescent="0.3">
      <c r="B150">
        <v>145</v>
      </c>
      <c r="G150" s="16" t="s">
        <v>11</v>
      </c>
      <c r="H150" s="16"/>
      <c r="I150" t="s">
        <v>13</v>
      </c>
      <c r="J150" s="16" t="s">
        <v>12</v>
      </c>
      <c r="K150" s="16"/>
    </row>
    <row r="151" spans="1:13" x14ac:dyDescent="0.3">
      <c r="A151">
        <v>1</v>
      </c>
      <c r="B151">
        <v>146</v>
      </c>
      <c r="C151" s="2">
        <v>100</v>
      </c>
    </row>
    <row r="152" spans="1:13" x14ac:dyDescent="0.3">
      <c r="A152">
        <v>2</v>
      </c>
      <c r="B152">
        <v>147</v>
      </c>
      <c r="C152" s="2">
        <v>100</v>
      </c>
      <c r="D152" s="6" t="s">
        <v>8</v>
      </c>
      <c r="E152" s="6"/>
      <c r="F152" s="6"/>
      <c r="G152" s="11" t="s">
        <v>14</v>
      </c>
      <c r="H152" s="11" t="s">
        <v>15</v>
      </c>
      <c r="I152" t="s">
        <v>13</v>
      </c>
      <c r="J152" s="11" t="s">
        <v>14</v>
      </c>
      <c r="K152" s="11" t="s">
        <v>15</v>
      </c>
    </row>
    <row r="153" spans="1:13" x14ac:dyDescent="0.3">
      <c r="A153">
        <v>3</v>
      </c>
      <c r="B153" s="4">
        <v>148</v>
      </c>
      <c r="C153" s="5">
        <f t="shared" ref="C153:C162" si="0">(D153/E153)*100</f>
        <v>100</v>
      </c>
      <c r="D153" s="4">
        <v>4.8499999999999996</v>
      </c>
      <c r="E153" s="4">
        <v>4.8499999999999996</v>
      </c>
      <c r="G153" s="9">
        <f>1/78*100</f>
        <v>1.2820512820512819</v>
      </c>
      <c r="H153" s="9">
        <f>100</f>
        <v>100</v>
      </c>
      <c r="I153" s="10">
        <v>148</v>
      </c>
      <c r="J153" s="7">
        <v>148</v>
      </c>
      <c r="K153" s="7">
        <v>100</v>
      </c>
      <c r="L153">
        <f>K153/100</f>
        <v>1</v>
      </c>
      <c r="M153">
        <f xml:space="preserve"> -0.000000002924444*POWER(J153,6) + 0.000003152992342*POWER(J153,5) - 0.001403985403634*POWER(J153,4) + 0.329943015582655*POWER(J153,3) - 43.0607846114727*POWER(J153,2) + 2948.90833637806*POWER(J153,1) - 82284.9773728672</f>
        <v>99.955226744088577</v>
      </c>
    </row>
    <row r="154" spans="1:13" x14ac:dyDescent="0.3">
      <c r="A154">
        <v>4</v>
      </c>
      <c r="B154" s="4">
        <v>149</v>
      </c>
      <c r="C154" s="5">
        <f t="shared" si="0"/>
        <v>95.876288659793829</v>
      </c>
      <c r="D154" s="4">
        <v>4.6500000000000004</v>
      </c>
      <c r="E154" s="4">
        <v>4.8499999999999996</v>
      </c>
      <c r="G154" s="9">
        <f t="shared" ref="G154:G217" si="1">1/78*100</f>
        <v>1.2820512820512819</v>
      </c>
      <c r="H154" s="9">
        <f>H153-G154</f>
        <v>98.717948717948715</v>
      </c>
      <c r="I154" s="10"/>
      <c r="J154" s="7">
        <v>149</v>
      </c>
      <c r="K154" s="7">
        <v>96.3</v>
      </c>
      <c r="L154">
        <f t="shared" ref="L154:L217" si="2">K154/100</f>
        <v>0.96299999999999997</v>
      </c>
      <c r="M154">
        <f t="shared" ref="M154:M217" si="3" xml:space="preserve"> -0.000000002924444*POWER(J154,6) + 0.000003152992342*POWER(J154,5) - 0.001403985403634*POWER(J154,4) + 0.329943015582655*POWER(J154,3) - 43.0607846114727*POWER(J154,2) + 2948.90833637806*POWER(J154,1) - 82284.9773728672</f>
        <v>96.293672667612555</v>
      </c>
    </row>
    <row r="155" spans="1:13" x14ac:dyDescent="0.3">
      <c r="A155">
        <v>5</v>
      </c>
      <c r="B155" s="4">
        <v>150</v>
      </c>
      <c r="C155" s="5">
        <f t="shared" si="0"/>
        <v>93.814432989690715</v>
      </c>
      <c r="D155" s="4">
        <v>4.55</v>
      </c>
      <c r="E155" s="4">
        <v>4.8499999999999996</v>
      </c>
      <c r="G155" s="9">
        <f t="shared" si="1"/>
        <v>1.2820512820512819</v>
      </c>
      <c r="H155" s="9">
        <f t="shared" ref="H155:H218" si="4">H154-G155</f>
        <v>97.435897435897431</v>
      </c>
      <c r="I155" s="10"/>
      <c r="J155" s="8">
        <v>150</v>
      </c>
      <c r="K155" s="7">
        <v>93</v>
      </c>
      <c r="L155">
        <f t="shared" si="2"/>
        <v>0.93</v>
      </c>
      <c r="M155">
        <f t="shared" si="3"/>
        <v>92.797360579046654</v>
      </c>
    </row>
    <row r="156" spans="1:13" x14ac:dyDescent="0.3">
      <c r="A156">
        <v>6</v>
      </c>
      <c r="B156" s="4">
        <v>151</v>
      </c>
      <c r="C156" s="5">
        <f t="shared" si="0"/>
        <v>86.597938144329916</v>
      </c>
      <c r="D156" s="4">
        <v>4.2</v>
      </c>
      <c r="E156" s="4">
        <v>4.8499999999999996</v>
      </c>
      <c r="G156" s="9">
        <f t="shared" si="1"/>
        <v>1.2820512820512819</v>
      </c>
      <c r="H156" s="9">
        <f t="shared" si="4"/>
        <v>96.153846153846146</v>
      </c>
      <c r="I156" s="10">
        <v>149</v>
      </c>
      <c r="J156" s="8">
        <v>151</v>
      </c>
      <c r="K156" s="7">
        <v>89.5</v>
      </c>
      <c r="L156">
        <f t="shared" si="2"/>
        <v>0.89500000000000002</v>
      </c>
      <c r="M156">
        <f t="shared" si="3"/>
        <v>89.464071658003377</v>
      </c>
    </row>
    <row r="157" spans="1:13" x14ac:dyDescent="0.3">
      <c r="A157">
        <v>7</v>
      </c>
      <c r="B157" s="4">
        <v>152</v>
      </c>
      <c r="C157" s="5">
        <f t="shared" si="0"/>
        <v>84.536082474226802</v>
      </c>
      <c r="D157" s="4">
        <v>4.0999999999999996</v>
      </c>
      <c r="E157" s="4">
        <v>4.8499999999999996</v>
      </c>
      <c r="G157" s="9">
        <f t="shared" si="1"/>
        <v>1.2820512820512819</v>
      </c>
      <c r="H157" s="9">
        <f t="shared" si="4"/>
        <v>94.871794871794862</v>
      </c>
      <c r="I157" s="10"/>
      <c r="J157" s="8">
        <v>152</v>
      </c>
      <c r="K157" s="7">
        <v>86</v>
      </c>
      <c r="L157">
        <f t="shared" si="2"/>
        <v>0.86</v>
      </c>
      <c r="M157">
        <f t="shared" si="3"/>
        <v>86.290956948912935</v>
      </c>
    </row>
    <row r="158" spans="1:13" x14ac:dyDescent="0.3">
      <c r="A158">
        <v>8</v>
      </c>
      <c r="B158" s="4">
        <v>153</v>
      </c>
      <c r="C158" s="5">
        <f t="shared" si="0"/>
        <v>80.412371134020617</v>
      </c>
      <c r="D158" s="4">
        <v>3.9</v>
      </c>
      <c r="E158" s="4">
        <v>4.8499999999999996</v>
      </c>
      <c r="G158" s="9">
        <f t="shared" si="1"/>
        <v>1.2820512820512819</v>
      </c>
      <c r="H158" s="9">
        <f t="shared" si="4"/>
        <v>93.589743589743577</v>
      </c>
      <c r="I158" s="10">
        <v>150</v>
      </c>
      <c r="J158" s="8">
        <v>153</v>
      </c>
      <c r="K158" s="7">
        <f t="shared" ref="K158:K169" si="5">-0.0013*POWER(B158,3)+0.6987*POWER(B158,2)-125.65*B158+7608.1</f>
        <v>83.468200000001161</v>
      </c>
      <c r="L158">
        <f t="shared" si="2"/>
        <v>0.83468200000001158</v>
      </c>
      <c r="M158">
        <f t="shared" si="3"/>
        <v>83.274598827789305</v>
      </c>
    </row>
    <row r="159" spans="1:13" x14ac:dyDescent="0.3">
      <c r="A159">
        <v>9</v>
      </c>
      <c r="B159" s="4">
        <v>154</v>
      </c>
      <c r="C159" s="5">
        <f t="shared" si="0"/>
        <v>78.86597938144331</v>
      </c>
      <c r="D159" s="4">
        <f>(3.75+3.9)/2</f>
        <v>3.8250000000000002</v>
      </c>
      <c r="E159" s="4">
        <v>4.8499999999999996</v>
      </c>
      <c r="G159" s="9">
        <f t="shared" si="1"/>
        <v>1.2820512820512819</v>
      </c>
      <c r="H159" s="9">
        <f t="shared" si="4"/>
        <v>92.307692307692292</v>
      </c>
      <c r="I159" s="10"/>
      <c r="J159" s="7">
        <v>154</v>
      </c>
      <c r="K159" s="7">
        <f t="shared" si="5"/>
        <v>80.425999999999476</v>
      </c>
      <c r="L159">
        <f t="shared" si="2"/>
        <v>0.80425999999999476</v>
      </c>
      <c r="M159">
        <f t="shared" si="3"/>
        <v>80.41107036251924</v>
      </c>
    </row>
    <row r="160" spans="1:13" x14ac:dyDescent="0.3">
      <c r="A160">
        <v>10</v>
      </c>
      <c r="B160" s="4">
        <v>155</v>
      </c>
      <c r="C160" s="5">
        <f t="shared" si="0"/>
        <v>76.288659793814446</v>
      </c>
      <c r="D160" s="4">
        <v>3.7</v>
      </c>
      <c r="E160" s="4">
        <v>4.8499999999999996</v>
      </c>
      <c r="G160" s="9">
        <f t="shared" si="1"/>
        <v>1.2820512820512819</v>
      </c>
      <c r="H160" s="9">
        <f t="shared" si="4"/>
        <v>91.025641025641008</v>
      </c>
      <c r="I160" s="10"/>
      <c r="J160" s="7">
        <v>155</v>
      </c>
      <c r="K160" s="7">
        <f t="shared" si="5"/>
        <v>77.579999999999927</v>
      </c>
      <c r="L160">
        <f t="shared" si="2"/>
        <v>0.77579999999999927</v>
      </c>
      <c r="M160">
        <f t="shared" si="3"/>
        <v>77.695992568478687</v>
      </c>
    </row>
    <row r="161" spans="1:13" x14ac:dyDescent="0.3">
      <c r="A161">
        <v>11</v>
      </c>
      <c r="B161" s="4">
        <v>156</v>
      </c>
      <c r="C161" s="5">
        <f t="shared" si="0"/>
        <v>72.164948453608261</v>
      </c>
      <c r="D161" s="4">
        <v>3.5</v>
      </c>
      <c r="E161" s="4">
        <v>4.8499999999999996</v>
      </c>
      <c r="G161" s="9">
        <f t="shared" si="1"/>
        <v>1.2820512820512819</v>
      </c>
      <c r="H161" s="9">
        <f t="shared" si="4"/>
        <v>89.743589743589723</v>
      </c>
      <c r="I161" s="10">
        <v>151</v>
      </c>
      <c r="J161" s="8">
        <v>156</v>
      </c>
      <c r="K161" s="7">
        <f t="shared" si="5"/>
        <v>74.92239999999947</v>
      </c>
      <c r="L161">
        <f t="shared" si="2"/>
        <v>0.74922399999999467</v>
      </c>
      <c r="M161">
        <f t="shared" si="3"/>
        <v>75.124589558079606</v>
      </c>
    </row>
    <row r="162" spans="1:13" x14ac:dyDescent="0.3">
      <c r="A162">
        <v>12</v>
      </c>
      <c r="B162" s="4">
        <v>157</v>
      </c>
      <c r="C162" s="5">
        <f t="shared" si="0"/>
        <v>70.103092783505161</v>
      </c>
      <c r="D162" s="4">
        <v>3.4</v>
      </c>
      <c r="E162" s="4">
        <v>4.8499999999999996</v>
      </c>
      <c r="G162" s="9">
        <f t="shared" si="1"/>
        <v>1.2820512820512819</v>
      </c>
      <c r="H162" s="9">
        <f t="shared" si="4"/>
        <v>88.461538461538439</v>
      </c>
      <c r="I162" s="10"/>
      <c r="J162" s="8">
        <v>157</v>
      </c>
      <c r="K162" s="7">
        <f t="shared" si="5"/>
        <v>72.445400000002337</v>
      </c>
      <c r="L162">
        <f t="shared" si="2"/>
        <v>0.72445400000002336</v>
      </c>
      <c r="M162">
        <f t="shared" si="3"/>
        <v>72.691741584654665</v>
      </c>
    </row>
    <row r="163" spans="1:13" x14ac:dyDescent="0.3">
      <c r="A163">
        <v>13</v>
      </c>
      <c r="B163">
        <v>158</v>
      </c>
      <c r="G163" s="9">
        <f t="shared" si="1"/>
        <v>1.2820512820512819</v>
      </c>
      <c r="H163" s="9">
        <f t="shared" si="4"/>
        <v>87.179487179487154</v>
      </c>
      <c r="I163" s="10"/>
      <c r="J163" s="8">
        <v>158</v>
      </c>
      <c r="K163" s="7">
        <f t="shared" si="5"/>
        <v>70.141200000000026</v>
      </c>
      <c r="L163">
        <f t="shared" si="2"/>
        <v>0.70141200000000026</v>
      </c>
      <c r="M163">
        <f t="shared" si="3"/>
        <v>70.392035979981301</v>
      </c>
    </row>
    <row r="164" spans="1:13" x14ac:dyDescent="0.3">
      <c r="A164">
        <v>14</v>
      </c>
      <c r="B164">
        <v>159</v>
      </c>
      <c r="G164" s="9">
        <f t="shared" si="1"/>
        <v>1.2820512820512819</v>
      </c>
      <c r="H164" s="9">
        <f t="shared" si="4"/>
        <v>85.897435897435869</v>
      </c>
      <c r="I164" s="10">
        <v>152</v>
      </c>
      <c r="J164" s="8">
        <v>159</v>
      </c>
      <c r="K164" s="7">
        <f t="shared" si="5"/>
        <v>68.001999999998588</v>
      </c>
      <c r="L164">
        <f t="shared" si="2"/>
        <v>0.68001999999998586</v>
      </c>
      <c r="M164">
        <f t="shared" si="3"/>
        <v>68.219815988530172</v>
      </c>
    </row>
    <row r="165" spans="1:13" x14ac:dyDescent="0.3">
      <c r="A165">
        <v>15</v>
      </c>
      <c r="B165" s="4">
        <v>160</v>
      </c>
      <c r="C165" s="5">
        <f>(D165/E165)*100</f>
        <v>65.979381443298976</v>
      </c>
      <c r="D165" s="4">
        <v>3.2</v>
      </c>
      <c r="E165" s="4">
        <v>4.8499999999999996</v>
      </c>
      <c r="G165" s="9">
        <f t="shared" si="1"/>
        <v>1.2820512820512819</v>
      </c>
      <c r="H165" s="9">
        <f t="shared" si="4"/>
        <v>84.615384615384585</v>
      </c>
      <c r="I165" s="10"/>
      <c r="J165" s="8">
        <v>160</v>
      </c>
      <c r="K165" s="7">
        <f t="shared" si="5"/>
        <v>66.020000000002256</v>
      </c>
      <c r="L165">
        <f t="shared" si="2"/>
        <v>0.66020000000002255</v>
      </c>
      <c r="M165">
        <f t="shared" si="3"/>
        <v>66.169227492966456</v>
      </c>
    </row>
    <row r="166" spans="1:13" x14ac:dyDescent="0.3">
      <c r="A166">
        <v>16</v>
      </c>
      <c r="B166">
        <v>161</v>
      </c>
      <c r="G166" s="9">
        <f t="shared" si="1"/>
        <v>1.2820512820512819</v>
      </c>
      <c r="H166" s="9">
        <f t="shared" si="4"/>
        <v>83.3333333333333</v>
      </c>
      <c r="I166" s="10">
        <v>153</v>
      </c>
      <c r="J166" s="8">
        <v>161</v>
      </c>
      <c r="K166" s="7">
        <f t="shared" si="5"/>
        <v>64.187400000000707</v>
      </c>
      <c r="L166">
        <f t="shared" si="2"/>
        <v>0.64187400000000705</v>
      </c>
      <c r="M166">
        <f t="shared" si="3"/>
        <v>64.23426363724866</v>
      </c>
    </row>
    <row r="167" spans="1:13" x14ac:dyDescent="0.3">
      <c r="A167">
        <v>17</v>
      </c>
      <c r="B167" s="4">
        <v>162</v>
      </c>
      <c r="C167" s="5">
        <f>(D167/E167)*100</f>
        <v>59.793814432989691</v>
      </c>
      <c r="D167" s="4">
        <v>2.9</v>
      </c>
      <c r="E167" s="4">
        <v>4.8499999999999996</v>
      </c>
      <c r="G167" s="9">
        <f t="shared" si="1"/>
        <v>1.2820512820512819</v>
      </c>
      <c r="H167" s="9">
        <f t="shared" si="4"/>
        <v>82.051282051282016</v>
      </c>
      <c r="I167" s="10"/>
      <c r="J167" s="8">
        <v>162</v>
      </c>
      <c r="K167" s="7">
        <f t="shared" si="5"/>
        <v>62.496399999999994</v>
      </c>
      <c r="L167">
        <f t="shared" si="2"/>
        <v>0.62496399999999996</v>
      </c>
      <c r="M167">
        <f t="shared" si="3"/>
        <v>62.408807340572821</v>
      </c>
    </row>
    <row r="168" spans="1:13" x14ac:dyDescent="0.3">
      <c r="A168">
        <v>18</v>
      </c>
      <c r="B168">
        <v>163</v>
      </c>
      <c r="G168" s="9">
        <f t="shared" si="1"/>
        <v>1.2820512820512819</v>
      </c>
      <c r="H168" s="9">
        <f t="shared" si="4"/>
        <v>80.769230769230731</v>
      </c>
      <c r="I168" s="10">
        <v>154</v>
      </c>
      <c r="J168" s="8">
        <v>163</v>
      </c>
      <c r="K168" s="7">
        <f t="shared" si="5"/>
        <v>60.939199999998891</v>
      </c>
      <c r="L168">
        <f t="shared" si="2"/>
        <v>0.60939199999998894</v>
      </c>
      <c r="M168">
        <f t="shared" si="3"/>
        <v>60.686671710718656</v>
      </c>
    </row>
    <row r="169" spans="1:13" x14ac:dyDescent="0.3">
      <c r="A169">
        <v>19</v>
      </c>
      <c r="B169">
        <v>164</v>
      </c>
      <c r="G169" s="9">
        <f t="shared" si="1"/>
        <v>1.2820512820512819</v>
      </c>
      <c r="H169" s="9">
        <f t="shared" si="4"/>
        <v>79.487179487179446</v>
      </c>
      <c r="I169" s="10"/>
      <c r="J169" s="8">
        <v>164</v>
      </c>
      <c r="K169" s="7">
        <f t="shared" si="5"/>
        <v>59.507999999997992</v>
      </c>
      <c r="L169">
        <f t="shared" si="2"/>
        <v>0.59507999999997996</v>
      </c>
      <c r="M169">
        <f t="shared" si="3"/>
        <v>59.061638345388928</v>
      </c>
    </row>
    <row r="170" spans="1:13" x14ac:dyDescent="0.3">
      <c r="A170">
        <v>20</v>
      </c>
      <c r="B170" s="4">
        <v>165</v>
      </c>
      <c r="C170" s="5">
        <f>(D170/E170)*100</f>
        <v>54.639175257731964</v>
      </c>
      <c r="D170" s="4">
        <v>2.65</v>
      </c>
      <c r="E170" s="4">
        <v>4.8499999999999996</v>
      </c>
      <c r="G170" s="9">
        <f t="shared" si="1"/>
        <v>1.2820512820512819</v>
      </c>
      <c r="H170" s="9">
        <f t="shared" si="4"/>
        <v>78.205128205128162</v>
      </c>
      <c r="I170" s="10">
        <v>155</v>
      </c>
      <c r="J170" s="8">
        <v>165</v>
      </c>
      <c r="K170" s="7">
        <v>58</v>
      </c>
      <c r="L170">
        <f t="shared" si="2"/>
        <v>0.57999999999999996</v>
      </c>
      <c r="M170">
        <f t="shared" si="3"/>
        <v>57.52749353312538</v>
      </c>
    </row>
    <row r="171" spans="1:13" x14ac:dyDescent="0.3">
      <c r="A171">
        <v>21</v>
      </c>
      <c r="B171">
        <v>166</v>
      </c>
      <c r="G171" s="9">
        <f t="shared" si="1"/>
        <v>1.2820512820512819</v>
      </c>
      <c r="H171" s="9">
        <f t="shared" si="4"/>
        <v>76.923076923076877</v>
      </c>
      <c r="I171" s="10"/>
      <c r="J171" s="8">
        <v>166</v>
      </c>
      <c r="K171" s="7">
        <v>56.4</v>
      </c>
      <c r="L171">
        <f t="shared" si="2"/>
        <v>0.56399999999999995</v>
      </c>
      <c r="M171">
        <f t="shared" si="3"/>
        <v>56.078062347631203</v>
      </c>
    </row>
    <row r="172" spans="1:13" x14ac:dyDescent="0.3">
      <c r="A172">
        <v>22</v>
      </c>
      <c r="B172">
        <v>167</v>
      </c>
      <c r="G172" s="9">
        <f t="shared" si="1"/>
        <v>1.2820512820512819</v>
      </c>
      <c r="H172" s="9">
        <f t="shared" si="4"/>
        <v>75.641025641025593</v>
      </c>
      <c r="I172" s="10">
        <v>156</v>
      </c>
      <c r="J172" s="8">
        <v>167</v>
      </c>
      <c r="K172" s="7">
        <v>55</v>
      </c>
      <c r="L172">
        <f t="shared" si="2"/>
        <v>0.55000000000000004</v>
      </c>
      <c r="M172">
        <f t="shared" si="3"/>
        <v>54.707240633812035</v>
      </c>
    </row>
    <row r="173" spans="1:13" x14ac:dyDescent="0.3">
      <c r="A173">
        <v>23</v>
      </c>
      <c r="B173" s="4">
        <v>168</v>
      </c>
      <c r="C173" s="5">
        <f>(D173/E173)*100</f>
        <v>52.577319587628871</v>
      </c>
      <c r="D173" s="4">
        <v>2.5499999999999998</v>
      </c>
      <c r="E173" s="4">
        <v>4.8499999999999996</v>
      </c>
      <c r="G173" s="9">
        <f t="shared" si="1"/>
        <v>1.2820512820512819</v>
      </c>
      <c r="H173" s="9">
        <f t="shared" si="4"/>
        <v>74.358974358974308</v>
      </c>
      <c r="I173" s="10"/>
      <c r="J173" s="8">
        <v>168</v>
      </c>
      <c r="K173" s="7">
        <v>53.5</v>
      </c>
      <c r="L173">
        <f t="shared" si="2"/>
        <v>0.53500000000000003</v>
      </c>
      <c r="M173">
        <f t="shared" si="3"/>
        <v>53.409024891530862</v>
      </c>
    </row>
    <row r="174" spans="1:13" x14ac:dyDescent="0.3">
      <c r="A174">
        <v>24</v>
      </c>
      <c r="B174">
        <v>169</v>
      </c>
      <c r="G174" s="9">
        <f t="shared" si="1"/>
        <v>1.2820512820512819</v>
      </c>
      <c r="H174" s="9">
        <f t="shared" si="4"/>
        <v>73.076923076923023</v>
      </c>
      <c r="I174" s="10">
        <v>157</v>
      </c>
      <c r="J174" s="8">
        <v>169</v>
      </c>
      <c r="K174" s="7">
        <v>52.5</v>
      </c>
      <c r="L174">
        <f t="shared" si="2"/>
        <v>0.52500000000000002</v>
      </c>
      <c r="M174">
        <f t="shared" si="3"/>
        <v>52.177540051256074</v>
      </c>
    </row>
    <row r="175" spans="1:13" x14ac:dyDescent="0.3">
      <c r="A175">
        <v>25</v>
      </c>
      <c r="B175">
        <v>170</v>
      </c>
      <c r="G175" s="9">
        <f t="shared" si="1"/>
        <v>1.2820512820512819</v>
      </c>
      <c r="H175" s="9">
        <f t="shared" si="4"/>
        <v>71.794871794871739</v>
      </c>
      <c r="I175" s="10"/>
      <c r="J175" s="8">
        <v>170</v>
      </c>
      <c r="K175" s="7">
        <v>51.2</v>
      </c>
      <c r="L175">
        <f t="shared" si="2"/>
        <v>0.51200000000000001</v>
      </c>
      <c r="M175">
        <f t="shared" si="3"/>
        <v>51.007065146317473</v>
      </c>
    </row>
    <row r="176" spans="1:13" x14ac:dyDescent="0.3">
      <c r="A176">
        <v>26</v>
      </c>
      <c r="B176" s="4">
        <v>171</v>
      </c>
      <c r="C176" s="5">
        <f>(D176/E176)*100</f>
        <v>50</v>
      </c>
      <c r="D176" s="4">
        <f>E176/2</f>
        <v>2.4249999999999998</v>
      </c>
      <c r="E176" s="4">
        <v>4.8499999999999996</v>
      </c>
      <c r="G176" s="9">
        <f t="shared" si="1"/>
        <v>1.2820512820512819</v>
      </c>
      <c r="H176" s="9">
        <f t="shared" si="4"/>
        <v>70.512820512820454</v>
      </c>
      <c r="I176" s="10">
        <v>158</v>
      </c>
      <c r="J176" s="7">
        <v>171</v>
      </c>
      <c r="K176" s="7">
        <v>49.8</v>
      </c>
      <c r="L176">
        <f t="shared" si="2"/>
        <v>0.498</v>
      </c>
      <c r="M176">
        <f t="shared" si="3"/>
        <v>49.892056877462892</v>
      </c>
    </row>
    <row r="177" spans="1:13" x14ac:dyDescent="0.3">
      <c r="A177">
        <v>27</v>
      </c>
      <c r="B177">
        <v>172</v>
      </c>
      <c r="E177" s="6" t="s">
        <v>9</v>
      </c>
      <c r="G177" s="9">
        <f t="shared" si="1"/>
        <v>1.2820512820512819</v>
      </c>
      <c r="H177" s="9">
        <f t="shared" si="4"/>
        <v>69.23076923076917</v>
      </c>
      <c r="I177" s="10"/>
      <c r="J177" s="8">
        <v>172</v>
      </c>
      <c r="K177" s="7">
        <v>48.5</v>
      </c>
      <c r="L177">
        <f t="shared" si="2"/>
        <v>0.48499999999999999</v>
      </c>
      <c r="M177">
        <f t="shared" si="3"/>
        <v>48.827171073382488</v>
      </c>
    </row>
    <row r="178" spans="1:13" x14ac:dyDescent="0.3">
      <c r="A178">
        <v>28</v>
      </c>
      <c r="B178">
        <v>173</v>
      </c>
      <c r="G178" s="9">
        <f t="shared" si="1"/>
        <v>1.2820512820512819</v>
      </c>
      <c r="H178" s="9">
        <f t="shared" si="4"/>
        <v>67.948717948717885</v>
      </c>
      <c r="I178" s="10">
        <v>159</v>
      </c>
      <c r="J178" s="8">
        <v>173</v>
      </c>
      <c r="K178" s="7">
        <v>47.5</v>
      </c>
      <c r="L178">
        <f t="shared" si="2"/>
        <v>0.47499999999999998</v>
      </c>
      <c r="M178">
        <f t="shared" si="3"/>
        <v>47.807282044988824</v>
      </c>
    </row>
    <row r="179" spans="1:13" x14ac:dyDescent="0.3">
      <c r="A179">
        <v>29</v>
      </c>
      <c r="B179">
        <v>174</v>
      </c>
      <c r="G179" s="9">
        <f t="shared" si="1"/>
        <v>1.2820512820512819</v>
      </c>
      <c r="H179" s="9">
        <f t="shared" si="4"/>
        <v>66.6666666666666</v>
      </c>
      <c r="I179" s="10">
        <v>160</v>
      </c>
      <c r="J179" s="8">
        <v>174</v>
      </c>
      <c r="K179" s="7">
        <f t="shared" ref="K179:K222" si="6">-0.7811*B179+182.15</f>
        <v>46.238599999999991</v>
      </c>
      <c r="L179">
        <f t="shared" si="2"/>
        <v>0.46238599999999991</v>
      </c>
      <c r="M179">
        <f t="shared" si="3"/>
        <v>46.827499834442278</v>
      </c>
    </row>
    <row r="180" spans="1:13" x14ac:dyDescent="0.3">
      <c r="A180">
        <v>30</v>
      </c>
      <c r="B180">
        <v>175</v>
      </c>
      <c r="G180" s="9">
        <f t="shared" si="1"/>
        <v>1.2820512820512819</v>
      </c>
      <c r="H180" s="9">
        <f t="shared" si="4"/>
        <v>65.384615384615316</v>
      </c>
      <c r="I180" s="10"/>
      <c r="J180" s="8">
        <v>175</v>
      </c>
      <c r="K180" s="7">
        <f t="shared" si="6"/>
        <v>45.45750000000001</v>
      </c>
      <c r="L180">
        <f t="shared" si="2"/>
        <v>0.45457500000000012</v>
      </c>
      <c r="M180">
        <f t="shared" si="3"/>
        <v>45.883185356651666</v>
      </c>
    </row>
    <row r="181" spans="1:13" x14ac:dyDescent="0.3">
      <c r="A181">
        <v>31</v>
      </c>
      <c r="B181">
        <v>176</v>
      </c>
      <c r="G181" s="9">
        <f t="shared" si="1"/>
        <v>1.2820512820512819</v>
      </c>
      <c r="H181" s="9">
        <f t="shared" si="4"/>
        <v>64.102564102564031</v>
      </c>
      <c r="I181" s="10">
        <v>161</v>
      </c>
      <c r="J181" s="8">
        <v>176</v>
      </c>
      <c r="K181" s="7">
        <f t="shared" si="6"/>
        <v>44.676400000000001</v>
      </c>
      <c r="L181">
        <f t="shared" si="2"/>
        <v>0.44676399999999999</v>
      </c>
      <c r="M181">
        <f t="shared" si="3"/>
        <v>44.969963439769344</v>
      </c>
    </row>
    <row r="182" spans="1:13" x14ac:dyDescent="0.3">
      <c r="A182">
        <v>32</v>
      </c>
      <c r="B182" s="4">
        <v>177</v>
      </c>
      <c r="C182" s="5">
        <f>(D182/E182)*100</f>
        <v>43.298969072164958</v>
      </c>
      <c r="D182" s="4">
        <v>2.1</v>
      </c>
      <c r="E182" s="4">
        <v>4.8499999999999996</v>
      </c>
      <c r="G182" s="9">
        <f t="shared" si="1"/>
        <v>1.2820512820512819</v>
      </c>
      <c r="H182" s="9">
        <f t="shared" si="4"/>
        <v>62.820512820512747</v>
      </c>
      <c r="I182" s="10">
        <v>162</v>
      </c>
      <c r="J182" s="8">
        <v>177</v>
      </c>
      <c r="K182" s="7">
        <f t="shared" si="6"/>
        <v>43.895299999999992</v>
      </c>
      <c r="L182">
        <f t="shared" si="2"/>
        <v>0.43895299999999993</v>
      </c>
      <c r="M182">
        <f t="shared" si="3"/>
        <v>44.083733753563138</v>
      </c>
    </row>
    <row r="183" spans="1:13" x14ac:dyDescent="0.3">
      <c r="A183">
        <v>33</v>
      </c>
      <c r="B183">
        <v>178</v>
      </c>
      <c r="G183" s="9">
        <f t="shared" si="1"/>
        <v>1.2820512820512819</v>
      </c>
      <c r="H183" s="9">
        <f t="shared" si="4"/>
        <v>61.538461538461462</v>
      </c>
      <c r="I183" s="10"/>
      <c r="J183" s="8">
        <v>178</v>
      </c>
      <c r="K183" s="7">
        <f t="shared" si="6"/>
        <v>43.114200000000011</v>
      </c>
      <c r="L183">
        <f t="shared" si="2"/>
        <v>0.43114200000000014</v>
      </c>
      <c r="M183">
        <f t="shared" si="3"/>
        <v>43.220679638994625</v>
      </c>
    </row>
    <row r="184" spans="1:13" x14ac:dyDescent="0.3">
      <c r="A184">
        <v>34</v>
      </c>
      <c r="B184">
        <v>179</v>
      </c>
      <c r="G184" s="9">
        <f t="shared" si="1"/>
        <v>1.2820512820512819</v>
      </c>
      <c r="H184" s="9">
        <f t="shared" si="4"/>
        <v>60.256410256410177</v>
      </c>
      <c r="I184" s="10">
        <v>163</v>
      </c>
      <c r="J184" s="8">
        <v>179</v>
      </c>
      <c r="K184" s="7">
        <f t="shared" si="6"/>
        <v>42.333100000000002</v>
      </c>
      <c r="L184">
        <f t="shared" si="2"/>
        <v>0.42333100000000001</v>
      </c>
      <c r="M184">
        <f t="shared" si="3"/>
        <v>42.377274826721987</v>
      </c>
    </row>
    <row r="185" spans="1:13" x14ac:dyDescent="0.3">
      <c r="A185">
        <v>35</v>
      </c>
      <c r="B185">
        <v>180</v>
      </c>
      <c r="G185" s="9">
        <f t="shared" si="1"/>
        <v>1.2820512820512819</v>
      </c>
      <c r="H185" s="9">
        <f t="shared" si="4"/>
        <v>58.974358974358893</v>
      </c>
      <c r="I185" s="10">
        <v>164</v>
      </c>
      <c r="J185" s="8">
        <v>180</v>
      </c>
      <c r="K185" s="7">
        <f t="shared" si="6"/>
        <v>41.551999999999992</v>
      </c>
      <c r="L185">
        <f t="shared" si="2"/>
        <v>0.41551999999999994</v>
      </c>
      <c r="M185">
        <f t="shared" si="3"/>
        <v>41.550288053782424</v>
      </c>
    </row>
    <row r="186" spans="1:13" x14ac:dyDescent="0.3">
      <c r="A186">
        <v>36</v>
      </c>
      <c r="B186">
        <v>181</v>
      </c>
      <c r="G186" s="9">
        <f t="shared" si="1"/>
        <v>1.2820512820512819</v>
      </c>
      <c r="H186" s="9">
        <f t="shared" si="4"/>
        <v>57.692307692307608</v>
      </c>
      <c r="I186" s="10">
        <v>165</v>
      </c>
      <c r="J186" s="8">
        <v>181</v>
      </c>
      <c r="K186" s="7">
        <f t="shared" si="6"/>
        <v>40.770900000000012</v>
      </c>
      <c r="L186">
        <f t="shared" si="2"/>
        <v>0.4077090000000001</v>
      </c>
      <c r="M186">
        <f t="shared" si="3"/>
        <v>40.736785572109511</v>
      </c>
    </row>
    <row r="187" spans="1:13" x14ac:dyDescent="0.3">
      <c r="A187">
        <v>37</v>
      </c>
      <c r="B187">
        <v>182</v>
      </c>
      <c r="G187" s="9">
        <f t="shared" si="1"/>
        <v>1.2820512820512819</v>
      </c>
      <c r="H187" s="9">
        <f t="shared" si="4"/>
        <v>56.410256410256324</v>
      </c>
      <c r="I187" s="10">
        <v>166</v>
      </c>
      <c r="J187" s="8">
        <v>182</v>
      </c>
      <c r="K187" s="7">
        <f t="shared" si="6"/>
        <v>39.989800000000002</v>
      </c>
      <c r="L187">
        <f t="shared" si="2"/>
        <v>0.39989800000000003</v>
      </c>
      <c r="M187">
        <f t="shared" si="3"/>
        <v>39.934131551970495</v>
      </c>
    </row>
    <row r="188" spans="1:13" x14ac:dyDescent="0.3">
      <c r="A188">
        <v>38</v>
      </c>
      <c r="B188">
        <v>183</v>
      </c>
      <c r="G188" s="9">
        <f t="shared" si="1"/>
        <v>1.2820512820512819</v>
      </c>
      <c r="H188" s="9">
        <f t="shared" si="4"/>
        <v>55.128205128205039</v>
      </c>
      <c r="I188" s="10">
        <v>167</v>
      </c>
      <c r="J188" s="8">
        <v>183</v>
      </c>
      <c r="K188" s="7">
        <f t="shared" si="6"/>
        <v>39.208699999999993</v>
      </c>
      <c r="L188">
        <f t="shared" si="2"/>
        <v>0.39208699999999991</v>
      </c>
      <c r="M188">
        <f t="shared" si="3"/>
        <v>39.139986383117503</v>
      </c>
    </row>
    <row r="189" spans="1:13" x14ac:dyDescent="0.3">
      <c r="A189">
        <v>39</v>
      </c>
      <c r="B189" s="4">
        <v>184</v>
      </c>
      <c r="C189" s="5">
        <f>(D189/E189)*100</f>
        <v>37.5</v>
      </c>
      <c r="D189" s="4">
        <f>E189/8*3</f>
        <v>1.8187499999999999</v>
      </c>
      <c r="E189" s="4">
        <v>4.8499999999999996</v>
      </c>
      <c r="G189" s="9">
        <f t="shared" si="1"/>
        <v>1.2820512820512819</v>
      </c>
      <c r="H189" s="9">
        <f t="shared" si="4"/>
        <v>53.846153846153754</v>
      </c>
      <c r="I189" s="10">
        <v>168</v>
      </c>
      <c r="J189" s="8">
        <v>184</v>
      </c>
      <c r="K189" s="7">
        <f t="shared" si="6"/>
        <v>38.427600000000012</v>
      </c>
      <c r="L189">
        <f t="shared" si="2"/>
        <v>0.38427600000000012</v>
      </c>
      <c r="M189">
        <f t="shared" si="3"/>
        <v>38.352302863699151</v>
      </c>
    </row>
    <row r="190" spans="1:13" x14ac:dyDescent="0.3">
      <c r="A190">
        <v>40</v>
      </c>
      <c r="B190">
        <v>185</v>
      </c>
      <c r="G190" s="9">
        <f t="shared" si="1"/>
        <v>1.2820512820512819</v>
      </c>
      <c r="H190" s="9">
        <f t="shared" si="4"/>
        <v>52.56410256410247</v>
      </c>
      <c r="I190" s="10">
        <v>169</v>
      </c>
      <c r="J190" s="8">
        <v>185</v>
      </c>
      <c r="K190" s="7">
        <f t="shared" si="6"/>
        <v>37.646500000000003</v>
      </c>
      <c r="L190">
        <f t="shared" si="2"/>
        <v>0.37646500000000005</v>
      </c>
      <c r="M190">
        <f t="shared" si="3"/>
        <v>37.569320289505413</v>
      </c>
    </row>
    <row r="191" spans="1:13" x14ac:dyDescent="0.3">
      <c r="A191">
        <v>41</v>
      </c>
      <c r="B191">
        <v>186</v>
      </c>
      <c r="G191" s="9">
        <f t="shared" si="1"/>
        <v>1.2820512820512819</v>
      </c>
      <c r="H191" s="9">
        <f t="shared" si="4"/>
        <v>51.282051282051185</v>
      </c>
      <c r="I191" s="10">
        <v>170</v>
      </c>
      <c r="J191" s="8">
        <v>186</v>
      </c>
      <c r="K191" s="7">
        <f t="shared" si="6"/>
        <v>36.865399999999994</v>
      </c>
      <c r="L191">
        <f t="shared" si="2"/>
        <v>0.36865399999999993</v>
      </c>
      <c r="M191">
        <f t="shared" si="3"/>
        <v>36.7895564364444</v>
      </c>
    </row>
    <row r="192" spans="1:13" x14ac:dyDescent="0.3">
      <c r="A192">
        <v>42</v>
      </c>
      <c r="B192">
        <v>187</v>
      </c>
      <c r="G192" s="9">
        <f t="shared" si="1"/>
        <v>1.2820512820512819</v>
      </c>
      <c r="H192" s="9">
        <f t="shared" si="4"/>
        <v>49.999999999999901</v>
      </c>
      <c r="I192" s="10">
        <v>171</v>
      </c>
      <c r="J192" s="8">
        <v>187</v>
      </c>
      <c r="K192" s="7">
        <f t="shared" si="6"/>
        <v>36.084300000000013</v>
      </c>
      <c r="L192">
        <f t="shared" si="2"/>
        <v>0.36084300000000014</v>
      </c>
      <c r="M192">
        <f t="shared" si="3"/>
        <v>36.011797433340689</v>
      </c>
    </row>
    <row r="193" spans="1:13" x14ac:dyDescent="0.3">
      <c r="A193">
        <v>43</v>
      </c>
      <c r="B193">
        <v>188</v>
      </c>
      <c r="G193" s="9">
        <f t="shared" si="1"/>
        <v>1.2820512820512819</v>
      </c>
      <c r="H193" s="9">
        <f t="shared" si="4"/>
        <v>48.717948717948616</v>
      </c>
      <c r="I193" s="10">
        <v>172</v>
      </c>
      <c r="J193" s="8">
        <v>188</v>
      </c>
      <c r="K193" s="7">
        <f t="shared" si="6"/>
        <v>35.303200000000004</v>
      </c>
      <c r="L193">
        <f t="shared" si="2"/>
        <v>0.35303200000000001</v>
      </c>
      <c r="M193">
        <f t="shared" si="3"/>
        <v>35.235085535532562</v>
      </c>
    </row>
    <row r="194" spans="1:13" x14ac:dyDescent="0.3">
      <c r="A194">
        <v>44</v>
      </c>
      <c r="B194">
        <v>189</v>
      </c>
      <c r="G194" s="9">
        <f t="shared" si="1"/>
        <v>1.2820512820512819</v>
      </c>
      <c r="H194" s="9">
        <f t="shared" si="4"/>
        <v>47.435897435897331</v>
      </c>
      <c r="I194" s="10">
        <v>173</v>
      </c>
      <c r="J194" s="8">
        <v>189</v>
      </c>
      <c r="K194" s="7">
        <f t="shared" si="6"/>
        <v>34.522099999999995</v>
      </c>
      <c r="L194">
        <f t="shared" si="2"/>
        <v>0.34522099999999994</v>
      </c>
      <c r="M194">
        <f t="shared" si="3"/>
        <v>34.458704789489275</v>
      </c>
    </row>
    <row r="195" spans="1:13" x14ac:dyDescent="0.3">
      <c r="A195">
        <v>45</v>
      </c>
      <c r="B195">
        <v>190</v>
      </c>
      <c r="G195" s="9">
        <f t="shared" si="1"/>
        <v>1.2820512820512819</v>
      </c>
      <c r="H195" s="9">
        <f t="shared" si="4"/>
        <v>46.153846153846047</v>
      </c>
      <c r="I195" s="10">
        <v>174</v>
      </c>
      <c r="J195" s="8">
        <v>190</v>
      </c>
      <c r="K195" s="7">
        <f t="shared" si="6"/>
        <v>33.741000000000014</v>
      </c>
      <c r="L195">
        <f t="shared" si="2"/>
        <v>0.33741000000000015</v>
      </c>
      <c r="M195">
        <f t="shared" si="3"/>
        <v>33.682164586585714</v>
      </c>
    </row>
    <row r="196" spans="1:13" x14ac:dyDescent="0.3">
      <c r="A196">
        <v>46</v>
      </c>
      <c r="B196">
        <v>191</v>
      </c>
      <c r="G196" s="9">
        <f t="shared" si="1"/>
        <v>1.2820512820512819</v>
      </c>
      <c r="H196" s="9">
        <f t="shared" si="4"/>
        <v>44.871794871794762</v>
      </c>
      <c r="I196" s="10">
        <v>176</v>
      </c>
      <c r="J196" s="8">
        <v>191</v>
      </c>
      <c r="K196" s="7">
        <f t="shared" si="6"/>
        <v>32.959900000000005</v>
      </c>
      <c r="L196">
        <f t="shared" si="2"/>
        <v>0.32959900000000003</v>
      </c>
      <c r="M196">
        <f t="shared" si="3"/>
        <v>32.905181126290699</v>
      </c>
    </row>
    <row r="197" spans="1:13" x14ac:dyDescent="0.3">
      <c r="A197">
        <v>47</v>
      </c>
      <c r="B197" s="4">
        <v>192</v>
      </c>
      <c r="C197" s="5">
        <f>(D197/E197)*100</f>
        <v>31.958762886597942</v>
      </c>
      <c r="D197" s="4">
        <v>1.55</v>
      </c>
      <c r="E197" s="4">
        <v>4.8499999999999996</v>
      </c>
      <c r="G197" s="9">
        <f t="shared" si="1"/>
        <v>1.2820512820512819</v>
      </c>
      <c r="H197" s="9">
        <f t="shared" si="4"/>
        <v>43.589743589743478</v>
      </c>
      <c r="I197" s="10">
        <v>177</v>
      </c>
      <c r="J197" s="8">
        <v>192</v>
      </c>
      <c r="K197" s="7">
        <f t="shared" si="6"/>
        <v>32.178799999999995</v>
      </c>
      <c r="L197">
        <f t="shared" si="2"/>
        <v>0.32178799999999996</v>
      </c>
      <c r="M197">
        <f t="shared" si="3"/>
        <v>32.127656753960764</v>
      </c>
    </row>
    <row r="198" spans="1:13" x14ac:dyDescent="0.3">
      <c r="A198">
        <v>48</v>
      </c>
      <c r="B198">
        <v>193</v>
      </c>
      <c r="G198" s="9">
        <f t="shared" si="1"/>
        <v>1.2820512820512819</v>
      </c>
      <c r="H198" s="9">
        <f t="shared" si="4"/>
        <v>42.307692307692193</v>
      </c>
      <c r="I198" s="10">
        <v>179</v>
      </c>
      <c r="J198" s="8">
        <v>193</v>
      </c>
      <c r="K198" s="7">
        <f t="shared" si="6"/>
        <v>31.397700000000015</v>
      </c>
      <c r="L198">
        <f t="shared" si="2"/>
        <v>0.31397700000000017</v>
      </c>
      <c r="M198">
        <f t="shared" si="3"/>
        <v>31.349657210259466</v>
      </c>
    </row>
    <row r="199" spans="1:13" x14ac:dyDescent="0.3">
      <c r="A199">
        <v>49</v>
      </c>
      <c r="B199">
        <v>194</v>
      </c>
      <c r="G199" s="9">
        <f t="shared" si="1"/>
        <v>1.2820512820512819</v>
      </c>
      <c r="H199" s="9">
        <f t="shared" si="4"/>
        <v>41.025641025640908</v>
      </c>
      <c r="I199" s="10"/>
      <c r="J199" s="8">
        <v>194</v>
      </c>
      <c r="K199" s="7">
        <f t="shared" si="6"/>
        <v>30.616600000000005</v>
      </c>
      <c r="L199">
        <f t="shared" si="2"/>
        <v>0.30616600000000005</v>
      </c>
      <c r="M199">
        <f t="shared" si="3"/>
        <v>30.571386765775969</v>
      </c>
    </row>
    <row r="200" spans="1:13" x14ac:dyDescent="0.3">
      <c r="A200">
        <v>50</v>
      </c>
      <c r="B200">
        <v>195</v>
      </c>
      <c r="G200" s="9">
        <f t="shared" si="1"/>
        <v>1.2820512820512819</v>
      </c>
      <c r="H200" s="9">
        <f t="shared" si="4"/>
        <v>39.743589743589624</v>
      </c>
      <c r="I200" s="10">
        <v>182</v>
      </c>
      <c r="J200" s="8">
        <v>195</v>
      </c>
      <c r="K200" s="7">
        <f t="shared" si="6"/>
        <v>29.835499999999996</v>
      </c>
      <c r="L200">
        <f t="shared" si="2"/>
        <v>0.29835499999999998</v>
      </c>
      <c r="M200">
        <f t="shared" si="3"/>
        <v>29.793161249224795</v>
      </c>
    </row>
    <row r="201" spans="1:13" x14ac:dyDescent="0.3">
      <c r="A201">
        <v>51</v>
      </c>
      <c r="B201">
        <v>196</v>
      </c>
      <c r="G201" s="9">
        <f t="shared" si="1"/>
        <v>1.2820512820512819</v>
      </c>
      <c r="H201" s="9">
        <f t="shared" si="4"/>
        <v>38.461538461538339</v>
      </c>
      <c r="I201" s="10">
        <v>184</v>
      </c>
      <c r="J201" s="8">
        <v>196</v>
      </c>
      <c r="K201" s="7">
        <f t="shared" si="6"/>
        <v>29.054400000000015</v>
      </c>
      <c r="L201">
        <f t="shared" si="2"/>
        <v>0.29054400000000014</v>
      </c>
      <c r="M201">
        <f t="shared" si="3"/>
        <v>29.015378979122033</v>
      </c>
    </row>
    <row r="202" spans="1:13" x14ac:dyDescent="0.3">
      <c r="A202">
        <v>52</v>
      </c>
      <c r="B202">
        <v>197</v>
      </c>
      <c r="G202" s="9">
        <f t="shared" si="1"/>
        <v>1.2820512820512819</v>
      </c>
      <c r="H202" s="9">
        <f t="shared" si="4"/>
        <v>37.179487179487055</v>
      </c>
      <c r="I202" s="10"/>
      <c r="J202" s="8">
        <v>197</v>
      </c>
      <c r="K202" s="7">
        <f t="shared" si="6"/>
        <v>28.273300000000006</v>
      </c>
      <c r="L202">
        <f t="shared" si="2"/>
        <v>0.28273300000000007</v>
      </c>
      <c r="M202">
        <f t="shared" si="3"/>
        <v>28.238489577750443</v>
      </c>
    </row>
    <row r="203" spans="1:13" x14ac:dyDescent="0.3">
      <c r="A203">
        <v>53</v>
      </c>
      <c r="B203">
        <v>198</v>
      </c>
      <c r="G203" s="9">
        <f t="shared" si="1"/>
        <v>1.2820512820512819</v>
      </c>
      <c r="H203" s="9">
        <f t="shared" si="4"/>
        <v>35.89743589743577</v>
      </c>
      <c r="I203" s="10"/>
      <c r="J203" s="8">
        <v>198</v>
      </c>
      <c r="K203" s="7">
        <f t="shared" si="6"/>
        <v>27.492199999999997</v>
      </c>
      <c r="L203">
        <f t="shared" si="2"/>
        <v>0.27492199999999994</v>
      </c>
      <c r="M203">
        <f t="shared" si="3"/>
        <v>27.462960690114414</v>
      </c>
    </row>
    <row r="204" spans="1:13" x14ac:dyDescent="0.3">
      <c r="A204">
        <v>54</v>
      </c>
      <c r="B204">
        <v>199</v>
      </c>
      <c r="G204" s="9">
        <f t="shared" si="1"/>
        <v>1.2820512820512819</v>
      </c>
      <c r="H204" s="9">
        <f t="shared" si="4"/>
        <v>34.615384615384485</v>
      </c>
      <c r="I204" s="10"/>
      <c r="J204" s="8">
        <v>199</v>
      </c>
      <c r="K204" s="7">
        <f t="shared" si="6"/>
        <v>26.711100000000016</v>
      </c>
      <c r="L204">
        <f t="shared" si="2"/>
        <v>0.26711100000000015</v>
      </c>
      <c r="M204">
        <f t="shared" si="3"/>
        <v>26.689242587628542</v>
      </c>
    </row>
    <row r="205" spans="1:13" x14ac:dyDescent="0.3">
      <c r="A205">
        <v>55</v>
      </c>
      <c r="B205">
        <v>200</v>
      </c>
      <c r="G205" s="9">
        <f t="shared" si="1"/>
        <v>1.2820512820512819</v>
      </c>
      <c r="H205" s="9">
        <f t="shared" si="4"/>
        <v>33.333333333333201</v>
      </c>
      <c r="I205" s="10">
        <v>191</v>
      </c>
      <c r="J205" s="8">
        <v>200</v>
      </c>
      <c r="K205" s="7">
        <f t="shared" si="6"/>
        <v>25.930000000000007</v>
      </c>
      <c r="L205">
        <f t="shared" si="2"/>
        <v>0.25930000000000009</v>
      </c>
      <c r="M205">
        <f t="shared" si="3"/>
        <v>25.917730676563224</v>
      </c>
    </row>
    <row r="206" spans="1:13" x14ac:dyDescent="0.3">
      <c r="A206">
        <v>56</v>
      </c>
      <c r="B206" s="4">
        <v>201</v>
      </c>
      <c r="C206" s="5">
        <f>(D206/E206)*100</f>
        <v>25</v>
      </c>
      <c r="D206" s="4">
        <f>E206/8*2</f>
        <v>1.2124999999999999</v>
      </c>
      <c r="E206" s="4">
        <v>4.8499999999999996</v>
      </c>
      <c r="G206" s="9">
        <f t="shared" si="1"/>
        <v>1.2820512820512819</v>
      </c>
      <c r="H206" s="9">
        <f t="shared" si="4"/>
        <v>32.051282051281916</v>
      </c>
      <c r="I206" s="10">
        <v>192</v>
      </c>
      <c r="J206" s="8">
        <v>201</v>
      </c>
      <c r="K206" s="7">
        <f t="shared" si="6"/>
        <v>25.148899999999998</v>
      </c>
      <c r="L206">
        <f t="shared" si="2"/>
        <v>0.25148899999999996</v>
      </c>
      <c r="M206">
        <f t="shared" si="3"/>
        <v>25.148725893086521</v>
      </c>
    </row>
    <row r="207" spans="1:13" x14ac:dyDescent="0.3">
      <c r="A207">
        <v>57</v>
      </c>
      <c r="B207">
        <v>202</v>
      </c>
      <c r="G207" s="9">
        <f t="shared" si="1"/>
        <v>1.2820512820512819</v>
      </c>
      <c r="H207" s="9">
        <f t="shared" si="4"/>
        <v>30.769230769230635</v>
      </c>
      <c r="I207" s="10">
        <v>194</v>
      </c>
      <c r="J207" s="8">
        <v>202</v>
      </c>
      <c r="K207" s="7">
        <f t="shared" si="6"/>
        <v>24.367799999999988</v>
      </c>
      <c r="L207">
        <f t="shared" si="2"/>
        <v>0.24367799999999989</v>
      </c>
      <c r="M207">
        <f t="shared" si="3"/>
        <v>24.382392993982648</v>
      </c>
    </row>
    <row r="208" spans="1:13" x14ac:dyDescent="0.3">
      <c r="A208">
        <v>58</v>
      </c>
      <c r="B208">
        <v>203</v>
      </c>
      <c r="G208" s="9">
        <f t="shared" si="1"/>
        <v>1.2820512820512819</v>
      </c>
      <c r="H208" s="9">
        <f t="shared" si="4"/>
        <v>29.487179487179354</v>
      </c>
      <c r="I208" s="10"/>
      <c r="J208" s="8">
        <v>203</v>
      </c>
      <c r="K208" s="7">
        <f t="shared" si="6"/>
        <v>23.586700000000008</v>
      </c>
      <c r="L208">
        <f t="shared" si="2"/>
        <v>0.23586700000000008</v>
      </c>
      <c r="M208">
        <f t="shared" si="3"/>
        <v>23.618716745841084</v>
      </c>
    </row>
    <row r="209" spans="1:13" x14ac:dyDescent="0.3">
      <c r="A209">
        <v>59</v>
      </c>
      <c r="B209">
        <v>204</v>
      </c>
      <c r="G209" s="9">
        <f t="shared" si="1"/>
        <v>1.2820512820512819</v>
      </c>
      <c r="H209" s="9">
        <f t="shared" si="4"/>
        <v>28.205128205128073</v>
      </c>
      <c r="I209" s="10">
        <v>197</v>
      </c>
      <c r="J209" s="8">
        <v>204</v>
      </c>
      <c r="K209" s="7">
        <f t="shared" si="6"/>
        <v>22.805599999999998</v>
      </c>
      <c r="L209">
        <f t="shared" si="2"/>
        <v>0.22805599999999998</v>
      </c>
      <c r="M209">
        <f t="shared" si="3"/>
        <v>22.857456003170228</v>
      </c>
    </row>
    <row r="210" spans="1:13" x14ac:dyDescent="0.3">
      <c r="A210">
        <v>60</v>
      </c>
      <c r="B210">
        <v>205</v>
      </c>
      <c r="G210" s="9">
        <f t="shared" si="1"/>
        <v>1.2820512820512819</v>
      </c>
      <c r="H210" s="9">
        <f t="shared" si="4"/>
        <v>26.923076923076792</v>
      </c>
      <c r="I210" s="10">
        <v>199</v>
      </c>
      <c r="J210" s="8">
        <v>205</v>
      </c>
      <c r="K210" s="7">
        <f t="shared" si="6"/>
        <v>22.024499999999989</v>
      </c>
      <c r="L210">
        <f t="shared" si="2"/>
        <v>0.22024499999999989</v>
      </c>
      <c r="M210">
        <f t="shared" si="3"/>
        <v>22.098095686145825</v>
      </c>
    </row>
    <row r="211" spans="1:13" x14ac:dyDescent="0.3">
      <c r="A211">
        <v>61</v>
      </c>
      <c r="B211">
        <v>206</v>
      </c>
      <c r="G211" s="9">
        <f t="shared" si="1"/>
        <v>1.2820512820512819</v>
      </c>
      <c r="H211" s="9">
        <f t="shared" si="4"/>
        <v>25.641025641025511</v>
      </c>
      <c r="I211" s="10">
        <v>200</v>
      </c>
      <c r="J211" s="8">
        <v>206</v>
      </c>
      <c r="K211" s="7">
        <f t="shared" si="6"/>
        <v>21.243400000000008</v>
      </c>
      <c r="L211">
        <f t="shared" si="2"/>
        <v>0.21243400000000009</v>
      </c>
      <c r="M211">
        <f t="shared" si="3"/>
        <v>21.339796647283947</v>
      </c>
    </row>
    <row r="212" spans="1:13" x14ac:dyDescent="0.3">
      <c r="A212">
        <v>62</v>
      </c>
      <c r="B212">
        <v>207</v>
      </c>
      <c r="G212" s="9">
        <f t="shared" si="1"/>
        <v>1.2820512820512819</v>
      </c>
      <c r="H212" s="9">
        <f t="shared" si="4"/>
        <v>24.35897435897423</v>
      </c>
      <c r="I212" s="10">
        <v>202</v>
      </c>
      <c r="J212" s="8">
        <v>207</v>
      </c>
      <c r="K212" s="7">
        <f t="shared" si="6"/>
        <v>20.462299999999999</v>
      </c>
      <c r="L212">
        <f t="shared" si="2"/>
        <v>0.204623</v>
      </c>
      <c r="M212">
        <f t="shared" si="3"/>
        <v>20.58134343670099</v>
      </c>
    </row>
    <row r="213" spans="1:13" x14ac:dyDescent="0.3">
      <c r="A213">
        <v>63</v>
      </c>
      <c r="B213" s="4">
        <v>208</v>
      </c>
      <c r="C213" s="5">
        <f>(D213/E213)*100</f>
        <v>19.587628865979383</v>
      </c>
      <c r="D213" s="4">
        <v>0.95</v>
      </c>
      <c r="E213" s="4">
        <v>4.8499999999999996</v>
      </c>
      <c r="G213" s="9">
        <f t="shared" si="1"/>
        <v>1.2820512820512819</v>
      </c>
      <c r="H213" s="9">
        <f t="shared" si="4"/>
        <v>23.076923076922949</v>
      </c>
      <c r="I213" s="10">
        <v>204</v>
      </c>
      <c r="J213" s="8">
        <v>208</v>
      </c>
      <c r="K213" s="7">
        <f t="shared" si="6"/>
        <v>19.68119999999999</v>
      </c>
      <c r="L213">
        <f t="shared" si="2"/>
        <v>0.1968119999999999</v>
      </c>
      <c r="M213">
        <f t="shared" si="3"/>
        <v>19.821089962002588</v>
      </c>
    </row>
    <row r="214" spans="1:13" x14ac:dyDescent="0.3">
      <c r="A214">
        <v>64</v>
      </c>
      <c r="B214">
        <v>209</v>
      </c>
      <c r="G214" s="9">
        <f t="shared" si="1"/>
        <v>1.2820512820512819</v>
      </c>
      <c r="H214" s="9">
        <f t="shared" si="4"/>
        <v>21.794871794871668</v>
      </c>
      <c r="I214" s="10">
        <v>205</v>
      </c>
      <c r="J214" s="8">
        <v>209</v>
      </c>
      <c r="K214" s="7">
        <f t="shared" si="6"/>
        <v>18.900100000000009</v>
      </c>
      <c r="L214">
        <f t="shared" si="2"/>
        <v>0.18900100000000009</v>
      </c>
      <c r="M214">
        <f t="shared" si="3"/>
        <v>19.056903038028395</v>
      </c>
    </row>
    <row r="215" spans="1:13" x14ac:dyDescent="0.3">
      <c r="A215">
        <v>65</v>
      </c>
      <c r="B215">
        <v>210</v>
      </c>
      <c r="G215" s="9">
        <f t="shared" si="1"/>
        <v>1.2820512820512819</v>
      </c>
      <c r="H215" s="9">
        <f t="shared" si="4"/>
        <v>20.512820512820387</v>
      </c>
      <c r="I215" s="10">
        <v>207</v>
      </c>
      <c r="J215" s="8">
        <v>210</v>
      </c>
      <c r="K215" s="7">
        <f t="shared" si="6"/>
        <v>18.119</v>
      </c>
      <c r="L215">
        <f t="shared" si="2"/>
        <v>0.18118999999999999</v>
      </c>
      <c r="M215">
        <f t="shared" si="3"/>
        <v>18.286103837861447</v>
      </c>
    </row>
    <row r="216" spans="1:13" x14ac:dyDescent="0.3">
      <c r="A216">
        <v>66</v>
      </c>
      <c r="B216">
        <v>211</v>
      </c>
      <c r="G216" s="9">
        <f t="shared" si="1"/>
        <v>1.2820512820512819</v>
      </c>
      <c r="H216" s="9">
        <f t="shared" si="4"/>
        <v>19.230769230769106</v>
      </c>
      <c r="I216" s="10">
        <v>208</v>
      </c>
      <c r="J216" s="8">
        <v>211</v>
      </c>
      <c r="K216" s="7">
        <f t="shared" si="6"/>
        <v>17.337899999999991</v>
      </c>
      <c r="L216">
        <f t="shared" si="2"/>
        <v>0.17337899999999989</v>
      </c>
      <c r="M216">
        <f t="shared" si="3"/>
        <v>17.505407229386037</v>
      </c>
    </row>
    <row r="217" spans="1:13" x14ac:dyDescent="0.3">
      <c r="A217">
        <v>67</v>
      </c>
      <c r="B217">
        <v>212</v>
      </c>
      <c r="G217" s="9">
        <f t="shared" si="1"/>
        <v>1.2820512820512819</v>
      </c>
      <c r="H217" s="9">
        <f t="shared" si="4"/>
        <v>17.948717948717825</v>
      </c>
      <c r="I217" s="10">
        <v>210</v>
      </c>
      <c r="J217" s="8">
        <v>212</v>
      </c>
      <c r="K217" s="7">
        <f t="shared" si="6"/>
        <v>16.55680000000001</v>
      </c>
      <c r="L217">
        <f t="shared" si="2"/>
        <v>0.1655680000000001</v>
      </c>
      <c r="M217">
        <f t="shared" si="3"/>
        <v>16.710859015089227</v>
      </c>
    </row>
    <row r="218" spans="1:13" x14ac:dyDescent="0.3">
      <c r="A218">
        <v>68</v>
      </c>
      <c r="B218">
        <v>213</v>
      </c>
      <c r="G218" s="9">
        <f t="shared" ref="G218:G231" si="7">1/78*100</f>
        <v>1.2820512820512819</v>
      </c>
      <c r="H218" s="9">
        <f t="shared" si="4"/>
        <v>16.666666666666544</v>
      </c>
      <c r="I218" s="10">
        <v>212</v>
      </c>
      <c r="J218" s="8">
        <v>213</v>
      </c>
      <c r="K218" s="7">
        <f t="shared" si="6"/>
        <v>15.775700000000001</v>
      </c>
      <c r="L218">
        <f t="shared" ref="L218:L230" si="8">K218/100</f>
        <v>0.15775700000000001</v>
      </c>
      <c r="M218">
        <f t="shared" ref="M218:M231" si="9" xml:space="preserve"> -0.000000002924444*POWER(J218,6) + 0.000003152992342*POWER(J218,5) - 0.001403985403634*POWER(J218,4) + 0.329943015582655*POWER(J218,3) - 43.0607846114727*POWER(J218,2) + 2948.90833637806*POWER(J218,1) - 82284.9773728672</f>
        <v>15.897771062183892</v>
      </c>
    </row>
    <row r="219" spans="1:13" x14ac:dyDescent="0.3">
      <c r="A219">
        <v>69</v>
      </c>
      <c r="B219">
        <v>214</v>
      </c>
      <c r="G219" s="9">
        <f t="shared" si="7"/>
        <v>1.2820512820512819</v>
      </c>
      <c r="H219" s="9">
        <f t="shared" ref="H219:H230" si="10">H218-G219</f>
        <v>15.384615384615262</v>
      </c>
      <c r="I219" s="10"/>
      <c r="J219" s="8">
        <v>214</v>
      </c>
      <c r="K219" s="7">
        <f t="shared" si="6"/>
        <v>14.994599999999991</v>
      </c>
      <c r="L219">
        <f t="shared" si="8"/>
        <v>0.14994599999999991</v>
      </c>
      <c r="M219">
        <f t="shared" si="9"/>
        <v>15.060654324683128</v>
      </c>
    </row>
    <row r="220" spans="1:13" x14ac:dyDescent="0.3">
      <c r="A220">
        <v>70</v>
      </c>
      <c r="B220">
        <v>215</v>
      </c>
      <c r="G220" s="9">
        <f t="shared" si="7"/>
        <v>1.2820512820512819</v>
      </c>
      <c r="H220" s="9">
        <f t="shared" si="10"/>
        <v>14.102564102563981</v>
      </c>
      <c r="I220" s="10">
        <v>215</v>
      </c>
      <c r="J220" s="8">
        <v>215</v>
      </c>
      <c r="K220" s="7">
        <f t="shared" si="6"/>
        <v>14.21350000000001</v>
      </c>
      <c r="L220">
        <f t="shared" si="8"/>
        <v>0.14213500000000009</v>
      </c>
      <c r="M220">
        <f t="shared" si="9"/>
        <v>14.193149765575072</v>
      </c>
    </row>
    <row r="221" spans="1:13" x14ac:dyDescent="0.3">
      <c r="A221">
        <v>71</v>
      </c>
      <c r="B221">
        <v>216</v>
      </c>
      <c r="G221" s="9">
        <f t="shared" si="7"/>
        <v>1.2820512820512819</v>
      </c>
      <c r="H221" s="9">
        <f t="shared" si="10"/>
        <v>12.8205128205127</v>
      </c>
      <c r="I221" s="10">
        <v>217</v>
      </c>
      <c r="J221" s="8">
        <v>216</v>
      </c>
      <c r="K221" s="7">
        <f t="shared" si="6"/>
        <v>13.432400000000001</v>
      </c>
      <c r="L221">
        <f t="shared" si="8"/>
        <v>0.134324</v>
      </c>
      <c r="M221">
        <f t="shared" si="9"/>
        <v>13.287957168853609</v>
      </c>
    </row>
    <row r="222" spans="1:13" x14ac:dyDescent="0.3">
      <c r="A222">
        <v>72</v>
      </c>
      <c r="B222">
        <v>217</v>
      </c>
      <c r="G222" s="9">
        <f t="shared" si="7"/>
        <v>1.2820512820512819</v>
      </c>
      <c r="H222" s="9">
        <f t="shared" si="10"/>
        <v>11.538461538461419</v>
      </c>
      <c r="I222" s="10">
        <v>218</v>
      </c>
      <c r="J222" s="8">
        <v>217</v>
      </c>
      <c r="K222" s="7">
        <f t="shared" si="6"/>
        <v>12.651299999999992</v>
      </c>
      <c r="L222">
        <f t="shared" si="8"/>
        <v>0.12651299999999993</v>
      </c>
      <c r="M222">
        <f t="shared" si="9"/>
        <v>12.336761846992886</v>
      </c>
    </row>
    <row r="223" spans="1:13" x14ac:dyDescent="0.3">
      <c r="A223">
        <v>73</v>
      </c>
      <c r="B223" s="4">
        <v>218</v>
      </c>
      <c r="C223" s="5">
        <f>(D223/E223)*100</f>
        <v>12.5</v>
      </c>
      <c r="D223" s="4">
        <f>E223/8*1</f>
        <v>0.60624999999999996</v>
      </c>
      <c r="E223" s="4">
        <v>4.8499999999999996</v>
      </c>
      <c r="G223" s="9">
        <f t="shared" si="7"/>
        <v>1.2820512820512819</v>
      </c>
      <c r="H223" s="9">
        <f t="shared" si="10"/>
        <v>10.256410256410138</v>
      </c>
      <c r="I223" s="10">
        <v>219</v>
      </c>
      <c r="J223" s="8">
        <v>218</v>
      </c>
      <c r="K223" s="7">
        <v>11.6</v>
      </c>
      <c r="L223">
        <f t="shared" si="8"/>
        <v>0.11599999999999999</v>
      </c>
      <c r="M223">
        <f t="shared" si="9"/>
        <v>11.330159245262621</v>
      </c>
    </row>
    <row r="224" spans="1:13" x14ac:dyDescent="0.3">
      <c r="A224">
        <v>74</v>
      </c>
      <c r="B224">
        <v>219</v>
      </c>
      <c r="E224" s="6" t="s">
        <v>10</v>
      </c>
      <c r="G224" s="9">
        <f t="shared" si="7"/>
        <v>1.2820512820512819</v>
      </c>
      <c r="H224" s="9">
        <f t="shared" si="10"/>
        <v>8.9743589743588572</v>
      </c>
      <c r="I224" s="10"/>
      <c r="J224" s="8">
        <v>219</v>
      </c>
      <c r="K224" s="8">
        <v>10.5</v>
      </c>
      <c r="L224">
        <f t="shared" si="8"/>
        <v>0.105</v>
      </c>
      <c r="M224">
        <f t="shared" si="9"/>
        <v>10.257577436364954</v>
      </c>
    </row>
    <row r="225" spans="1:13" x14ac:dyDescent="0.3">
      <c r="A225">
        <v>75</v>
      </c>
      <c r="B225">
        <v>220</v>
      </c>
      <c r="G225" s="9">
        <f t="shared" si="7"/>
        <v>1.2820512820512819</v>
      </c>
      <c r="H225" s="9">
        <f t="shared" si="10"/>
        <v>7.6923076923075753</v>
      </c>
      <c r="I225" s="10">
        <v>221</v>
      </c>
      <c r="J225" s="8">
        <v>220</v>
      </c>
      <c r="K225" s="8">
        <f t="shared" ref="K225:K231" si="11">-1.5625*B225+353.13</f>
        <v>9.3799999999999955</v>
      </c>
      <c r="L225">
        <f t="shared" si="8"/>
        <v>9.3799999999999953E-2</v>
      </c>
      <c r="M225">
        <f t="shared" si="9"/>
        <v>9.1071975128434133</v>
      </c>
    </row>
    <row r="226" spans="1:13" x14ac:dyDescent="0.3">
      <c r="A226">
        <v>76</v>
      </c>
      <c r="B226">
        <v>221</v>
      </c>
      <c r="G226" s="9">
        <f t="shared" si="7"/>
        <v>1.2820512820512819</v>
      </c>
      <c r="H226" s="9">
        <f t="shared" si="10"/>
        <v>6.4102564102562933</v>
      </c>
      <c r="I226" s="10">
        <v>222</v>
      </c>
      <c r="J226" s="8">
        <v>221</v>
      </c>
      <c r="K226" s="8">
        <f t="shared" si="11"/>
        <v>7.8174999999999955</v>
      </c>
      <c r="L226">
        <f t="shared" si="8"/>
        <v>7.8174999999999953E-2</v>
      </c>
      <c r="M226">
        <f t="shared" si="9"/>
        <v>7.8658718720253091</v>
      </c>
    </row>
    <row r="227" spans="1:13" x14ac:dyDescent="0.3">
      <c r="A227">
        <v>77</v>
      </c>
      <c r="B227">
        <v>222</v>
      </c>
      <c r="G227" s="9">
        <f t="shared" si="7"/>
        <v>1.2820512820512819</v>
      </c>
      <c r="H227" s="9">
        <f t="shared" si="10"/>
        <v>5.1282051282050114</v>
      </c>
      <c r="I227" s="10"/>
      <c r="J227" s="8">
        <v>222</v>
      </c>
      <c r="K227" s="8">
        <f t="shared" si="11"/>
        <v>6.2549999999999955</v>
      </c>
      <c r="L227">
        <f t="shared" si="8"/>
        <v>6.2549999999999953E-2</v>
      </c>
      <c r="M227">
        <f t="shared" si="9"/>
        <v>6.5190403955930378</v>
      </c>
    </row>
    <row r="228" spans="1:13" x14ac:dyDescent="0.3">
      <c r="A228">
        <v>78</v>
      </c>
      <c r="B228">
        <v>223</v>
      </c>
      <c r="G228" s="9">
        <f t="shared" si="7"/>
        <v>1.2820512820512819</v>
      </c>
      <c r="H228" s="9">
        <f t="shared" si="10"/>
        <v>3.8461538461537295</v>
      </c>
      <c r="I228" s="10"/>
      <c r="J228" s="8">
        <v>223</v>
      </c>
      <c r="K228" s="8">
        <f t="shared" si="11"/>
        <v>4.6924999999999955</v>
      </c>
      <c r="L228">
        <f t="shared" si="8"/>
        <v>4.6924999999999953E-2</v>
      </c>
      <c r="M228">
        <f t="shared" si="9"/>
        <v>5.050644524366362</v>
      </c>
    </row>
    <row r="229" spans="1:13" x14ac:dyDescent="0.3">
      <c r="A229">
        <v>79</v>
      </c>
      <c r="B229">
        <v>224</v>
      </c>
      <c r="G229" s="9">
        <f t="shared" si="7"/>
        <v>1.2820512820512819</v>
      </c>
      <c r="H229" s="9">
        <f t="shared" si="10"/>
        <v>2.5641025641024475</v>
      </c>
      <c r="I229" s="10"/>
      <c r="J229" s="8">
        <v>224</v>
      </c>
      <c r="K229" s="8">
        <f t="shared" si="11"/>
        <v>3.1299999999999955</v>
      </c>
      <c r="L229">
        <f t="shared" si="8"/>
        <v>3.1299999999999953E-2</v>
      </c>
      <c r="M229">
        <f t="shared" si="9"/>
        <v>3.4430392303911503</v>
      </c>
    </row>
    <row r="230" spans="1:13" x14ac:dyDescent="0.3">
      <c r="A230">
        <v>80</v>
      </c>
      <c r="B230">
        <v>225</v>
      </c>
      <c r="G230" s="9">
        <f t="shared" si="7"/>
        <v>1.2820512820512819</v>
      </c>
      <c r="H230" s="9">
        <f t="shared" si="10"/>
        <v>1.2820512820511656</v>
      </c>
      <c r="I230" s="10">
        <v>225</v>
      </c>
      <c r="J230" s="8">
        <v>225</v>
      </c>
      <c r="K230" s="8">
        <f t="shared" si="11"/>
        <v>1.5674999999999955</v>
      </c>
      <c r="L230">
        <f t="shared" si="8"/>
        <v>1.5674999999999953E-2</v>
      </c>
      <c r="M230">
        <f t="shared" si="9"/>
        <v>1.6769028731796425</v>
      </c>
    </row>
    <row r="231" spans="1:13" x14ac:dyDescent="0.3">
      <c r="A231">
        <v>81</v>
      </c>
      <c r="B231">
        <v>226</v>
      </c>
      <c r="C231" s="2">
        <v>0</v>
      </c>
      <c r="G231" s="9">
        <f t="shared" si="7"/>
        <v>1.2820512820512819</v>
      </c>
      <c r="H231" s="9">
        <v>0</v>
      </c>
      <c r="I231" s="10">
        <v>226</v>
      </c>
      <c r="J231" s="8">
        <v>226</v>
      </c>
      <c r="K231" s="8">
        <f t="shared" si="11"/>
        <v>4.9999999999954525E-3</v>
      </c>
      <c r="L231">
        <v>0</v>
      </c>
      <c r="M231">
        <f t="shared" si="9"/>
        <v>-0.26885503754601814</v>
      </c>
    </row>
    <row r="232" spans="1:13" x14ac:dyDescent="0.3">
      <c r="A232">
        <v>82</v>
      </c>
      <c r="B232">
        <v>227</v>
      </c>
      <c r="C232" s="2">
        <v>0</v>
      </c>
    </row>
    <row r="233" spans="1:13" x14ac:dyDescent="0.3">
      <c r="A233">
        <v>83</v>
      </c>
      <c r="B233" s="4">
        <v>228</v>
      </c>
      <c r="C233" s="5">
        <v>0</v>
      </c>
      <c r="D233" s="4"/>
      <c r="E233" s="4">
        <f>A233/2</f>
        <v>41.5</v>
      </c>
    </row>
    <row r="234" spans="1:13" x14ac:dyDescent="0.3">
      <c r="A234">
        <v>84</v>
      </c>
      <c r="B234">
        <v>229</v>
      </c>
    </row>
    <row r="235" spans="1:13" x14ac:dyDescent="0.3">
      <c r="A235">
        <v>85</v>
      </c>
      <c r="B235">
        <v>230</v>
      </c>
      <c r="G235" t="s">
        <v>16</v>
      </c>
      <c r="H235" t="s">
        <v>17</v>
      </c>
      <c r="I235" t="s">
        <v>18</v>
      </c>
    </row>
    <row r="236" spans="1:13" x14ac:dyDescent="0.3">
      <c r="A236">
        <v>86</v>
      </c>
      <c r="B236">
        <v>231</v>
      </c>
      <c r="G236">
        <f>(148+226)/2</f>
        <v>187</v>
      </c>
      <c r="H236">
        <f>J231-J153+1</f>
        <v>79</v>
      </c>
      <c r="I236">
        <f>H236-1</f>
        <v>78</v>
      </c>
    </row>
    <row r="237" spans="1:13" x14ac:dyDescent="0.3">
      <c r="A237">
        <v>87</v>
      </c>
      <c r="B237">
        <v>232</v>
      </c>
    </row>
    <row r="238" spans="1:13" x14ac:dyDescent="0.3">
      <c r="A238">
        <v>88</v>
      </c>
      <c r="B238">
        <v>233</v>
      </c>
    </row>
    <row r="239" spans="1:13" x14ac:dyDescent="0.3">
      <c r="A239">
        <v>89</v>
      </c>
      <c r="B239">
        <v>234</v>
      </c>
    </row>
    <row r="240" spans="1:13" x14ac:dyDescent="0.3">
      <c r="A240">
        <v>90</v>
      </c>
      <c r="B240">
        <v>235</v>
      </c>
      <c r="H240" s="9">
        <v>100</v>
      </c>
      <c r="I240" s="10">
        <v>148</v>
      </c>
    </row>
    <row r="241" spans="1:13" s="2" customFormat="1" x14ac:dyDescent="0.3">
      <c r="A241"/>
      <c r="B241">
        <v>238</v>
      </c>
      <c r="D241"/>
      <c r="E241"/>
      <c r="F241"/>
      <c r="G241"/>
      <c r="H241" s="9">
        <v>96.153846153846146</v>
      </c>
      <c r="I241" s="10">
        <v>149</v>
      </c>
      <c r="J241"/>
      <c r="K241"/>
      <c r="L241"/>
      <c r="M241"/>
    </row>
    <row r="242" spans="1:13" s="2" customFormat="1" x14ac:dyDescent="0.3">
      <c r="A242"/>
      <c r="B242">
        <v>240</v>
      </c>
      <c r="D242"/>
      <c r="E242"/>
      <c r="F242"/>
      <c r="G242"/>
      <c r="H242" s="9">
        <v>93.589743589743577</v>
      </c>
      <c r="I242" s="10">
        <v>150</v>
      </c>
      <c r="J242"/>
      <c r="K242"/>
      <c r="L242"/>
      <c r="M242"/>
    </row>
    <row r="243" spans="1:13" s="2" customFormat="1" x14ac:dyDescent="0.3">
      <c r="A243"/>
      <c r="B243">
        <v>243</v>
      </c>
      <c r="D243"/>
      <c r="E243"/>
      <c r="F243"/>
      <c r="G243"/>
      <c r="H243" s="9">
        <v>89.743589743589723</v>
      </c>
      <c r="I243" s="10">
        <v>151</v>
      </c>
      <c r="J243"/>
      <c r="K243"/>
      <c r="L243"/>
      <c r="M243"/>
    </row>
    <row r="244" spans="1:13" s="2" customFormat="1" x14ac:dyDescent="0.3">
      <c r="A244"/>
      <c r="B244">
        <v>246</v>
      </c>
      <c r="D244"/>
      <c r="E244"/>
      <c r="F244"/>
      <c r="G244"/>
      <c r="H244" s="9">
        <v>85.897435897435869</v>
      </c>
      <c r="I244" s="10">
        <v>152</v>
      </c>
      <c r="J244"/>
      <c r="K244"/>
      <c r="L244"/>
      <c r="M244"/>
    </row>
    <row r="245" spans="1:13" s="2" customFormat="1" x14ac:dyDescent="0.3">
      <c r="A245"/>
      <c r="B245">
        <v>248</v>
      </c>
      <c r="D245"/>
      <c r="E245"/>
      <c r="F245"/>
      <c r="G245"/>
      <c r="H245" s="9">
        <v>83.3333333333333</v>
      </c>
      <c r="I245" s="10">
        <v>153</v>
      </c>
      <c r="J245"/>
      <c r="K245"/>
      <c r="L245"/>
      <c r="M245"/>
    </row>
    <row r="246" spans="1:13" s="2" customFormat="1" x14ac:dyDescent="0.3">
      <c r="A246"/>
      <c r="B246">
        <v>250</v>
      </c>
      <c r="D246"/>
      <c r="E246"/>
      <c r="F246"/>
      <c r="G246"/>
      <c r="H246" s="9">
        <v>80.769230769230731</v>
      </c>
      <c r="I246" s="10">
        <v>154</v>
      </c>
      <c r="J246"/>
      <c r="K246"/>
      <c r="L246"/>
      <c r="M246"/>
    </row>
    <row r="247" spans="1:13" s="2" customFormat="1" x14ac:dyDescent="0.3">
      <c r="A247"/>
      <c r="B247">
        <v>252</v>
      </c>
      <c r="D247"/>
      <c r="E247"/>
      <c r="F247"/>
      <c r="G247"/>
      <c r="H247" s="9">
        <v>78.205128205128162</v>
      </c>
      <c r="I247" s="10">
        <v>155</v>
      </c>
      <c r="J247"/>
      <c r="K247"/>
      <c r="L247"/>
      <c r="M247"/>
    </row>
    <row r="248" spans="1:13" s="2" customFormat="1" x14ac:dyDescent="0.3">
      <c r="A248"/>
      <c r="B248">
        <v>254</v>
      </c>
      <c r="D248"/>
      <c r="E248"/>
      <c r="F248"/>
      <c r="G248"/>
      <c r="H248" s="9">
        <v>75.641025641025593</v>
      </c>
      <c r="I248" s="10">
        <v>156</v>
      </c>
      <c r="J248"/>
      <c r="K248"/>
      <c r="L248"/>
      <c r="M248"/>
    </row>
    <row r="249" spans="1:13" x14ac:dyDescent="0.3">
      <c r="H249" s="9">
        <v>73.076923076923023</v>
      </c>
      <c r="I249" s="10">
        <v>157</v>
      </c>
    </row>
    <row r="250" spans="1:13" x14ac:dyDescent="0.3">
      <c r="H250" s="9">
        <v>70.512820512820454</v>
      </c>
      <c r="I250" s="10">
        <v>158</v>
      </c>
    </row>
    <row r="251" spans="1:13" x14ac:dyDescent="0.3">
      <c r="H251" s="9">
        <v>67.948717948717885</v>
      </c>
      <c r="I251" s="10">
        <v>159</v>
      </c>
    </row>
    <row r="252" spans="1:13" x14ac:dyDescent="0.3">
      <c r="H252" s="9">
        <v>66.6666666666666</v>
      </c>
      <c r="I252" s="10">
        <v>160</v>
      </c>
    </row>
    <row r="253" spans="1:13" x14ac:dyDescent="0.3">
      <c r="H253" s="9">
        <v>64.102564102564031</v>
      </c>
      <c r="I253" s="10">
        <v>161</v>
      </c>
    </row>
    <row r="254" spans="1:13" x14ac:dyDescent="0.3">
      <c r="H254" s="9">
        <v>62.820512820512747</v>
      </c>
      <c r="I254" s="10">
        <v>162</v>
      </c>
    </row>
    <row r="255" spans="1:13" x14ac:dyDescent="0.3">
      <c r="H255" s="9">
        <v>60.256410256410177</v>
      </c>
      <c r="I255" s="10">
        <v>163</v>
      </c>
    </row>
    <row r="256" spans="1:13" x14ac:dyDescent="0.3">
      <c r="H256" s="9">
        <v>58.974358974358893</v>
      </c>
      <c r="I256" s="10">
        <v>164</v>
      </c>
    </row>
    <row r="257" spans="8:9" x14ac:dyDescent="0.3">
      <c r="H257" s="9">
        <v>57.692307692307608</v>
      </c>
      <c r="I257" s="10">
        <v>165</v>
      </c>
    </row>
    <row r="258" spans="8:9" x14ac:dyDescent="0.3">
      <c r="H258" s="9">
        <v>56.410256410256324</v>
      </c>
      <c r="I258" s="10">
        <v>166</v>
      </c>
    </row>
    <row r="259" spans="8:9" x14ac:dyDescent="0.3">
      <c r="H259" s="9">
        <v>55.128205128205039</v>
      </c>
      <c r="I259" s="10">
        <v>167</v>
      </c>
    </row>
    <row r="260" spans="8:9" x14ac:dyDescent="0.3">
      <c r="H260" s="9">
        <v>53.846153846153754</v>
      </c>
      <c r="I260" s="10">
        <v>168</v>
      </c>
    </row>
    <row r="261" spans="8:9" x14ac:dyDescent="0.3">
      <c r="H261" s="9">
        <v>52.56410256410247</v>
      </c>
      <c r="I261" s="10">
        <v>169</v>
      </c>
    </row>
    <row r="262" spans="8:9" x14ac:dyDescent="0.3">
      <c r="H262" s="9">
        <v>51.282051282051185</v>
      </c>
      <c r="I262" s="10">
        <v>170</v>
      </c>
    </row>
    <row r="263" spans="8:9" x14ac:dyDescent="0.3">
      <c r="H263" s="9">
        <v>49.999999999999901</v>
      </c>
      <c r="I263" s="10">
        <v>171</v>
      </c>
    </row>
    <row r="264" spans="8:9" x14ac:dyDescent="0.3">
      <c r="H264" s="9">
        <v>48.717948717948616</v>
      </c>
      <c r="I264" s="10">
        <v>172</v>
      </c>
    </row>
    <row r="265" spans="8:9" x14ac:dyDescent="0.3">
      <c r="H265" s="9">
        <v>47.435897435897331</v>
      </c>
      <c r="I265" s="10">
        <v>173</v>
      </c>
    </row>
    <row r="266" spans="8:9" x14ac:dyDescent="0.3">
      <c r="H266" s="9">
        <v>46.153846153846047</v>
      </c>
      <c r="I266" s="10">
        <v>174</v>
      </c>
    </row>
    <row r="267" spans="8:9" x14ac:dyDescent="0.3">
      <c r="H267" s="9">
        <v>44.871794871794762</v>
      </c>
      <c r="I267" s="10">
        <v>176</v>
      </c>
    </row>
    <row r="268" spans="8:9" x14ac:dyDescent="0.3">
      <c r="H268" s="9">
        <v>43.589743589743478</v>
      </c>
      <c r="I268" s="10">
        <v>177</v>
      </c>
    </row>
    <row r="269" spans="8:9" x14ac:dyDescent="0.3">
      <c r="H269" s="9">
        <v>42.307692307692193</v>
      </c>
      <c r="I269" s="10">
        <v>179</v>
      </c>
    </row>
    <row r="270" spans="8:9" x14ac:dyDescent="0.3">
      <c r="H270" s="9">
        <v>39.743589743589624</v>
      </c>
      <c r="I270" s="10">
        <v>182</v>
      </c>
    </row>
    <row r="271" spans="8:9" x14ac:dyDescent="0.3">
      <c r="H271" s="9">
        <v>38.461538461538339</v>
      </c>
      <c r="I271" s="10">
        <v>184</v>
      </c>
    </row>
    <row r="272" spans="8:9" x14ac:dyDescent="0.3">
      <c r="H272" s="9">
        <v>33.333333333333201</v>
      </c>
      <c r="I272" s="10">
        <v>191</v>
      </c>
    </row>
    <row r="273" spans="8:9" x14ac:dyDescent="0.3">
      <c r="H273" s="9">
        <v>32.051282051281916</v>
      </c>
      <c r="I273" s="10">
        <v>192</v>
      </c>
    </row>
    <row r="274" spans="8:9" x14ac:dyDescent="0.3">
      <c r="H274" s="9">
        <v>30.769230769230635</v>
      </c>
      <c r="I274" s="10">
        <v>194</v>
      </c>
    </row>
    <row r="275" spans="8:9" x14ac:dyDescent="0.3">
      <c r="H275" s="9">
        <v>28.205128205128073</v>
      </c>
      <c r="I275" s="10">
        <v>197</v>
      </c>
    </row>
    <row r="276" spans="8:9" x14ac:dyDescent="0.3">
      <c r="H276" s="9">
        <v>26.923076923076792</v>
      </c>
      <c r="I276" s="10">
        <v>199</v>
      </c>
    </row>
    <row r="277" spans="8:9" x14ac:dyDescent="0.3">
      <c r="H277" s="9">
        <v>25.641025641025511</v>
      </c>
      <c r="I277" s="10">
        <v>200</v>
      </c>
    </row>
    <row r="278" spans="8:9" x14ac:dyDescent="0.3">
      <c r="H278" s="9">
        <v>24.35897435897423</v>
      </c>
      <c r="I278" s="10">
        <v>202</v>
      </c>
    </row>
    <row r="279" spans="8:9" x14ac:dyDescent="0.3">
      <c r="H279" s="9">
        <v>23.076923076922949</v>
      </c>
      <c r="I279" s="10">
        <v>204</v>
      </c>
    </row>
    <row r="280" spans="8:9" x14ac:dyDescent="0.3">
      <c r="H280" s="9">
        <v>21.794871794871668</v>
      </c>
      <c r="I280" s="10">
        <v>205</v>
      </c>
    </row>
    <row r="281" spans="8:9" x14ac:dyDescent="0.3">
      <c r="H281" s="9">
        <v>20.512820512820387</v>
      </c>
      <c r="I281" s="10">
        <v>207</v>
      </c>
    </row>
    <row r="282" spans="8:9" x14ac:dyDescent="0.3">
      <c r="H282" s="9">
        <v>19.230769230769106</v>
      </c>
      <c r="I282" s="10">
        <v>208</v>
      </c>
    </row>
    <row r="283" spans="8:9" x14ac:dyDescent="0.3">
      <c r="H283" s="9">
        <v>17.948717948717825</v>
      </c>
      <c r="I283" s="10">
        <v>210</v>
      </c>
    </row>
    <row r="284" spans="8:9" x14ac:dyDescent="0.3">
      <c r="H284" s="9">
        <v>16.666666666666544</v>
      </c>
      <c r="I284" s="10">
        <v>212</v>
      </c>
    </row>
    <row r="285" spans="8:9" x14ac:dyDescent="0.3">
      <c r="H285" s="9">
        <v>14.102564102563981</v>
      </c>
      <c r="I285" s="10">
        <v>215</v>
      </c>
    </row>
    <row r="286" spans="8:9" x14ac:dyDescent="0.3">
      <c r="H286" s="9">
        <v>12.8205128205127</v>
      </c>
      <c r="I286" s="10">
        <v>217</v>
      </c>
    </row>
    <row r="287" spans="8:9" x14ac:dyDescent="0.3">
      <c r="H287" s="9">
        <v>11.538461538461419</v>
      </c>
      <c r="I287" s="10">
        <v>218</v>
      </c>
    </row>
    <row r="288" spans="8:9" x14ac:dyDescent="0.3">
      <c r="H288" s="9">
        <v>10.256410256410138</v>
      </c>
      <c r="I288" s="10">
        <v>219</v>
      </c>
    </row>
    <row r="289" spans="8:9" x14ac:dyDescent="0.3">
      <c r="H289" s="9">
        <v>7.6923076923075753</v>
      </c>
      <c r="I289" s="10">
        <v>221</v>
      </c>
    </row>
    <row r="290" spans="8:9" x14ac:dyDescent="0.3">
      <c r="H290" s="9">
        <v>6.4102564102562933</v>
      </c>
      <c r="I290" s="10">
        <v>222</v>
      </c>
    </row>
    <row r="291" spans="8:9" x14ac:dyDescent="0.3">
      <c r="H291" s="9">
        <v>1.2820512820511656</v>
      </c>
      <c r="I291" s="10">
        <v>225</v>
      </c>
    </row>
    <row r="292" spans="8:9" x14ac:dyDescent="0.3">
      <c r="H292" s="9">
        <v>0</v>
      </c>
      <c r="I292" s="10">
        <v>226</v>
      </c>
    </row>
  </sheetData>
  <mergeCells count="2">
    <mergeCell ref="G150:H150"/>
    <mergeCell ref="J150:K15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AA70E-AF37-4477-946F-E1BD2035D60F}">
  <sheetPr codeName="Tabelle4"/>
  <dimension ref="A3:N156"/>
  <sheetViews>
    <sheetView topLeftCell="A37" zoomScale="90" zoomScaleNormal="90" workbookViewId="0">
      <selection activeCell="E167" sqref="E167"/>
    </sheetView>
  </sheetViews>
  <sheetFormatPr baseColWidth="10" defaultRowHeight="14.4" x14ac:dyDescent="0.3"/>
  <sheetData>
    <row r="3" spans="1:2" x14ac:dyDescent="0.3">
      <c r="B3" s="2"/>
    </row>
    <row r="4" spans="1:2" x14ac:dyDescent="0.3">
      <c r="B4" s="2"/>
    </row>
    <row r="5" spans="1:2" x14ac:dyDescent="0.3">
      <c r="A5">
        <v>148</v>
      </c>
      <c r="B5" s="2">
        <v>100</v>
      </c>
    </row>
    <row r="6" spans="1:2" x14ac:dyDescent="0.3">
      <c r="A6">
        <v>149</v>
      </c>
      <c r="B6" s="2">
        <v>95.876288659793829</v>
      </c>
    </row>
    <row r="7" spans="1:2" x14ac:dyDescent="0.3">
      <c r="A7">
        <v>150</v>
      </c>
      <c r="B7" s="2">
        <v>93.814432989690715</v>
      </c>
    </row>
    <row r="8" spans="1:2" x14ac:dyDescent="0.3">
      <c r="A8">
        <v>151</v>
      </c>
      <c r="B8" s="2">
        <v>86.597938144329916</v>
      </c>
    </row>
    <row r="9" spans="1:2" x14ac:dyDescent="0.3">
      <c r="A9">
        <v>152</v>
      </c>
      <c r="B9" s="2">
        <v>84.536082474226802</v>
      </c>
    </row>
    <row r="10" spans="1:2" x14ac:dyDescent="0.3">
      <c r="A10">
        <v>153</v>
      </c>
      <c r="B10" s="2">
        <v>80.412371134020617</v>
      </c>
    </row>
    <row r="11" spans="1:2" x14ac:dyDescent="0.3">
      <c r="A11">
        <v>154</v>
      </c>
      <c r="B11" s="2">
        <v>78.86597938144331</v>
      </c>
    </row>
    <row r="12" spans="1:2" x14ac:dyDescent="0.3">
      <c r="A12">
        <v>155</v>
      </c>
      <c r="B12" s="2">
        <v>76.288659793814446</v>
      </c>
    </row>
    <row r="13" spans="1:2" x14ac:dyDescent="0.3">
      <c r="A13">
        <v>156</v>
      </c>
      <c r="B13" s="2">
        <v>72.164948453608261</v>
      </c>
    </row>
    <row r="14" spans="1:2" x14ac:dyDescent="0.3">
      <c r="A14">
        <v>157</v>
      </c>
      <c r="B14" s="2">
        <v>70.103092783505161</v>
      </c>
    </row>
    <row r="15" spans="1:2" x14ac:dyDescent="0.3">
      <c r="A15">
        <v>160</v>
      </c>
      <c r="B15" s="2">
        <v>65.979381443298976</v>
      </c>
    </row>
    <row r="16" spans="1:2" x14ac:dyDescent="0.3">
      <c r="A16">
        <v>162</v>
      </c>
      <c r="B16" s="2">
        <v>59.793814432989691</v>
      </c>
    </row>
    <row r="17" spans="1:2" x14ac:dyDescent="0.3">
      <c r="A17">
        <v>165</v>
      </c>
      <c r="B17" s="2">
        <v>54.639175257731964</v>
      </c>
    </row>
    <row r="18" spans="1:2" x14ac:dyDescent="0.3">
      <c r="A18">
        <v>168</v>
      </c>
      <c r="B18" s="2">
        <v>52.577319587628871</v>
      </c>
    </row>
    <row r="19" spans="1:2" x14ac:dyDescent="0.3">
      <c r="A19">
        <v>171</v>
      </c>
      <c r="B19" s="2">
        <v>50</v>
      </c>
    </row>
    <row r="20" spans="1:2" x14ac:dyDescent="0.3">
      <c r="A20">
        <v>177</v>
      </c>
      <c r="B20" s="2">
        <v>43.298969072164958</v>
      </c>
    </row>
    <row r="21" spans="1:2" x14ac:dyDescent="0.3">
      <c r="A21">
        <v>184</v>
      </c>
      <c r="B21" s="2">
        <v>37.5</v>
      </c>
    </row>
    <row r="22" spans="1:2" x14ac:dyDescent="0.3">
      <c r="A22">
        <v>192</v>
      </c>
      <c r="B22" s="2">
        <v>31.958762886597942</v>
      </c>
    </row>
    <row r="23" spans="1:2" x14ac:dyDescent="0.3">
      <c r="A23">
        <v>201</v>
      </c>
      <c r="B23" s="2">
        <v>25</v>
      </c>
    </row>
    <row r="24" spans="1:2" x14ac:dyDescent="0.3">
      <c r="A24">
        <v>208</v>
      </c>
      <c r="B24" s="2">
        <v>19.587628865979383</v>
      </c>
    </row>
    <row r="25" spans="1:2" x14ac:dyDescent="0.3">
      <c r="A25">
        <v>218</v>
      </c>
      <c r="B25" s="2">
        <v>12.5</v>
      </c>
    </row>
    <row r="26" spans="1:2" x14ac:dyDescent="0.3">
      <c r="A26">
        <v>226</v>
      </c>
      <c r="B26" s="2">
        <v>0</v>
      </c>
    </row>
    <row r="27" spans="1:2" x14ac:dyDescent="0.3">
      <c r="B27" s="2"/>
    </row>
    <row r="28" spans="1:2" x14ac:dyDescent="0.3">
      <c r="B28" s="2"/>
    </row>
    <row r="29" spans="1:2" x14ac:dyDescent="0.3">
      <c r="B29" s="2"/>
    </row>
    <row r="30" spans="1:2" x14ac:dyDescent="0.3">
      <c r="B30" s="2"/>
    </row>
    <row r="31" spans="1:2" x14ac:dyDescent="0.3">
      <c r="B31" s="2"/>
    </row>
    <row r="32" spans="1:2" x14ac:dyDescent="0.3">
      <c r="B32" s="2"/>
    </row>
    <row r="33" spans="1:14" x14ac:dyDescent="0.3">
      <c r="B33" s="2"/>
    </row>
    <row r="34" spans="1:14" x14ac:dyDescent="0.3">
      <c r="B34" s="2"/>
    </row>
    <row r="35" spans="1:14" x14ac:dyDescent="0.3">
      <c r="B35" s="2"/>
    </row>
    <row r="36" spans="1:14" x14ac:dyDescent="0.3">
      <c r="B36" s="2"/>
    </row>
    <row r="37" spans="1:14" x14ac:dyDescent="0.3">
      <c r="N37" s="3"/>
    </row>
    <row r="38" spans="1:14" x14ac:dyDescent="0.3">
      <c r="A38">
        <v>148</v>
      </c>
      <c r="B38" s="2">
        <v>100</v>
      </c>
    </row>
    <row r="39" spans="1:14" x14ac:dyDescent="0.3">
      <c r="A39">
        <v>149</v>
      </c>
      <c r="B39" s="2">
        <v>95.876288659793829</v>
      </c>
    </row>
    <row r="40" spans="1:14" x14ac:dyDescent="0.3">
      <c r="A40">
        <v>150</v>
      </c>
      <c r="B40" s="2">
        <v>93.814432989690715</v>
      </c>
    </row>
    <row r="41" spans="1:14" x14ac:dyDescent="0.3">
      <c r="A41">
        <v>151</v>
      </c>
      <c r="B41" s="2">
        <v>86.597938144329916</v>
      </c>
    </row>
    <row r="42" spans="1:14" x14ac:dyDescent="0.3">
      <c r="A42">
        <v>152</v>
      </c>
      <c r="B42" s="2">
        <v>84.536082474226802</v>
      </c>
    </row>
    <row r="43" spans="1:14" x14ac:dyDescent="0.3">
      <c r="A43">
        <v>153</v>
      </c>
      <c r="B43" s="2">
        <v>80.412371134020617</v>
      </c>
    </row>
    <row r="44" spans="1:14" x14ac:dyDescent="0.3">
      <c r="A44">
        <v>154</v>
      </c>
      <c r="B44" s="2">
        <v>78.86597938144331</v>
      </c>
    </row>
    <row r="45" spans="1:14" x14ac:dyDescent="0.3">
      <c r="A45">
        <v>155</v>
      </c>
      <c r="B45" s="2">
        <v>76.288659793814446</v>
      </c>
    </row>
    <row r="46" spans="1:14" x14ac:dyDescent="0.3">
      <c r="A46">
        <v>156</v>
      </c>
      <c r="B46" s="2">
        <v>72.164948453608261</v>
      </c>
    </row>
    <row r="47" spans="1:14" x14ac:dyDescent="0.3">
      <c r="A47">
        <v>157</v>
      </c>
      <c r="B47" s="2">
        <v>70.103092783505161</v>
      </c>
    </row>
    <row r="48" spans="1:14" x14ac:dyDescent="0.3">
      <c r="A48">
        <v>160</v>
      </c>
      <c r="B48" s="2">
        <v>65.979381443298976</v>
      </c>
    </row>
    <row r="49" spans="1:2" x14ac:dyDescent="0.3">
      <c r="A49">
        <v>162</v>
      </c>
      <c r="B49" s="2">
        <v>59.793814432989691</v>
      </c>
    </row>
    <row r="50" spans="1:2" x14ac:dyDescent="0.3">
      <c r="A50">
        <v>165</v>
      </c>
      <c r="B50" s="2">
        <v>54.639175257731964</v>
      </c>
    </row>
    <row r="51" spans="1:2" x14ac:dyDescent="0.3">
      <c r="A51">
        <v>168</v>
      </c>
      <c r="B51" s="2">
        <v>52.577319587628871</v>
      </c>
    </row>
    <row r="52" spans="1:2" x14ac:dyDescent="0.3">
      <c r="A52">
        <v>171</v>
      </c>
      <c r="B52" s="2">
        <v>50</v>
      </c>
    </row>
    <row r="53" spans="1:2" x14ac:dyDescent="0.3">
      <c r="B53" s="2"/>
    </row>
    <row r="54" spans="1:2" x14ac:dyDescent="0.3">
      <c r="B54" s="2"/>
    </row>
    <row r="55" spans="1:2" x14ac:dyDescent="0.3">
      <c r="B55" s="2"/>
    </row>
    <row r="56" spans="1:2" x14ac:dyDescent="0.3">
      <c r="B56" s="2"/>
    </row>
    <row r="57" spans="1:2" x14ac:dyDescent="0.3">
      <c r="B57" s="2"/>
    </row>
    <row r="58" spans="1:2" x14ac:dyDescent="0.3">
      <c r="B58" s="2"/>
    </row>
    <row r="59" spans="1:2" x14ac:dyDescent="0.3">
      <c r="B59" s="2"/>
    </row>
    <row r="60" spans="1:2" x14ac:dyDescent="0.3">
      <c r="B60" s="2"/>
    </row>
    <row r="61" spans="1:2" x14ac:dyDescent="0.3">
      <c r="B61" s="2"/>
    </row>
    <row r="62" spans="1:2" x14ac:dyDescent="0.3">
      <c r="B62" s="2"/>
    </row>
    <row r="63" spans="1:2" x14ac:dyDescent="0.3">
      <c r="B63" s="2"/>
    </row>
    <row r="64" spans="1:2" x14ac:dyDescent="0.3">
      <c r="B64" s="2"/>
    </row>
    <row r="65" spans="1:2" x14ac:dyDescent="0.3">
      <c r="B65" s="2"/>
    </row>
    <row r="66" spans="1:2" x14ac:dyDescent="0.3">
      <c r="A66">
        <v>148</v>
      </c>
      <c r="B66" s="2">
        <v>100</v>
      </c>
    </row>
    <row r="67" spans="1:2" x14ac:dyDescent="0.3">
      <c r="A67">
        <v>149</v>
      </c>
      <c r="B67" s="2">
        <v>95.876288659793829</v>
      </c>
    </row>
    <row r="68" spans="1:2" x14ac:dyDescent="0.3">
      <c r="A68">
        <v>150</v>
      </c>
      <c r="B68" s="2">
        <v>93.814432989690715</v>
      </c>
    </row>
    <row r="69" spans="1:2" x14ac:dyDescent="0.3">
      <c r="A69">
        <v>151</v>
      </c>
      <c r="B69" s="2">
        <v>86.597938144329916</v>
      </c>
    </row>
    <row r="70" spans="1:2" x14ac:dyDescent="0.3">
      <c r="A70">
        <v>152</v>
      </c>
      <c r="B70" s="2">
        <v>84.536082474226802</v>
      </c>
    </row>
    <row r="71" spans="1:2" x14ac:dyDescent="0.3">
      <c r="A71">
        <v>153</v>
      </c>
      <c r="B71" s="2">
        <v>80.412371134020617</v>
      </c>
    </row>
    <row r="72" spans="1:2" x14ac:dyDescent="0.3">
      <c r="A72">
        <v>154</v>
      </c>
      <c r="B72" s="2">
        <v>78.86597938144331</v>
      </c>
    </row>
    <row r="73" spans="1:2" x14ac:dyDescent="0.3">
      <c r="A73">
        <v>155</v>
      </c>
      <c r="B73" s="2">
        <v>76.288659793814446</v>
      </c>
    </row>
    <row r="74" spans="1:2" x14ac:dyDescent="0.3">
      <c r="A74">
        <v>156</v>
      </c>
      <c r="B74" s="2">
        <v>72.164948453608261</v>
      </c>
    </row>
    <row r="75" spans="1:2" x14ac:dyDescent="0.3">
      <c r="A75">
        <v>157</v>
      </c>
      <c r="B75" s="2">
        <v>70.103092783505161</v>
      </c>
    </row>
    <row r="76" spans="1:2" x14ac:dyDescent="0.3">
      <c r="B76" s="2"/>
    </row>
    <row r="77" spans="1:2" x14ac:dyDescent="0.3">
      <c r="B77" s="2"/>
    </row>
    <row r="78" spans="1:2" x14ac:dyDescent="0.3">
      <c r="B78" s="2"/>
    </row>
    <row r="79" spans="1:2" x14ac:dyDescent="0.3">
      <c r="B79" s="2"/>
    </row>
    <row r="80" spans="1:2" x14ac:dyDescent="0.3">
      <c r="B80" s="2"/>
    </row>
    <row r="81" spans="1:2" x14ac:dyDescent="0.3">
      <c r="B81" s="2"/>
    </row>
    <row r="82" spans="1:2" x14ac:dyDescent="0.3">
      <c r="B82" s="2"/>
    </row>
    <row r="83" spans="1:2" x14ac:dyDescent="0.3">
      <c r="B83" s="2"/>
    </row>
    <row r="84" spans="1:2" x14ac:dyDescent="0.3">
      <c r="B84" s="2"/>
    </row>
    <row r="85" spans="1:2" x14ac:dyDescent="0.3">
      <c r="B85" s="2"/>
    </row>
    <row r="86" spans="1:2" x14ac:dyDescent="0.3">
      <c r="B86" s="2"/>
    </row>
    <row r="87" spans="1:2" x14ac:dyDescent="0.3">
      <c r="A87">
        <v>157</v>
      </c>
      <c r="B87" s="2">
        <v>70.103092783505161</v>
      </c>
    </row>
    <row r="88" spans="1:2" x14ac:dyDescent="0.3">
      <c r="A88">
        <v>160</v>
      </c>
      <c r="B88" s="2">
        <v>65.979381443298976</v>
      </c>
    </row>
    <row r="89" spans="1:2" x14ac:dyDescent="0.3">
      <c r="A89">
        <v>162</v>
      </c>
      <c r="B89" s="2">
        <v>59.793814432989691</v>
      </c>
    </row>
    <row r="90" spans="1:2" x14ac:dyDescent="0.3">
      <c r="A90">
        <v>165</v>
      </c>
      <c r="B90" s="2">
        <v>54.639175257731964</v>
      </c>
    </row>
    <row r="91" spans="1:2" x14ac:dyDescent="0.3">
      <c r="B91" s="2"/>
    </row>
    <row r="92" spans="1:2" x14ac:dyDescent="0.3">
      <c r="B92" s="2"/>
    </row>
    <row r="93" spans="1:2" x14ac:dyDescent="0.3">
      <c r="B93" s="2"/>
    </row>
    <row r="94" spans="1:2" x14ac:dyDescent="0.3">
      <c r="B94" s="2"/>
    </row>
    <row r="95" spans="1:2" x14ac:dyDescent="0.3">
      <c r="B95" s="2"/>
    </row>
    <row r="96" spans="1:2" x14ac:dyDescent="0.3">
      <c r="B96" s="2"/>
    </row>
    <row r="97" spans="1:2" x14ac:dyDescent="0.3">
      <c r="B97" s="2"/>
    </row>
    <row r="98" spans="1:2" x14ac:dyDescent="0.3">
      <c r="B98" s="2"/>
    </row>
    <row r="99" spans="1:2" x14ac:dyDescent="0.3">
      <c r="B99" s="2"/>
    </row>
    <row r="100" spans="1:2" x14ac:dyDescent="0.3">
      <c r="B100" s="2"/>
    </row>
    <row r="101" spans="1:2" x14ac:dyDescent="0.3">
      <c r="B101" s="2"/>
    </row>
    <row r="102" spans="1:2" x14ac:dyDescent="0.3">
      <c r="B102" s="2"/>
    </row>
    <row r="103" spans="1:2" x14ac:dyDescent="0.3">
      <c r="B103" s="2"/>
    </row>
    <row r="104" spans="1:2" x14ac:dyDescent="0.3">
      <c r="B104" s="2"/>
    </row>
    <row r="105" spans="1:2" x14ac:dyDescent="0.3">
      <c r="B105" s="2"/>
    </row>
    <row r="106" spans="1:2" x14ac:dyDescent="0.3">
      <c r="B106" s="2"/>
    </row>
    <row r="107" spans="1:2" x14ac:dyDescent="0.3">
      <c r="B107" s="2"/>
    </row>
    <row r="108" spans="1:2" x14ac:dyDescent="0.3">
      <c r="B108" s="2"/>
    </row>
    <row r="109" spans="1:2" x14ac:dyDescent="0.3">
      <c r="B109" s="2"/>
    </row>
    <row r="110" spans="1:2" x14ac:dyDescent="0.3">
      <c r="B110" s="2"/>
    </row>
    <row r="111" spans="1:2" x14ac:dyDescent="0.3">
      <c r="A111">
        <v>165</v>
      </c>
      <c r="B111" s="2">
        <v>54.639175257731964</v>
      </c>
    </row>
    <row r="112" spans="1:2" x14ac:dyDescent="0.3">
      <c r="A112">
        <f>(A111+A113)/2</f>
        <v>166.5</v>
      </c>
      <c r="B112">
        <f>(B111+B113)/2</f>
        <v>53.608247422680421</v>
      </c>
    </row>
    <row r="113" spans="1:2" x14ac:dyDescent="0.3">
      <c r="A113">
        <v>168</v>
      </c>
      <c r="B113" s="2">
        <v>52.577319587628871</v>
      </c>
    </row>
    <row r="114" spans="1:2" x14ac:dyDescent="0.3">
      <c r="A114">
        <f>(A113+A115)/2</f>
        <v>169.5</v>
      </c>
      <c r="B114">
        <f>(B113+B115)/2</f>
        <v>51.288659793814432</v>
      </c>
    </row>
    <row r="115" spans="1:2" x14ac:dyDescent="0.3">
      <c r="A115">
        <v>171</v>
      </c>
      <c r="B115" s="2">
        <v>50</v>
      </c>
    </row>
    <row r="116" spans="1:2" x14ac:dyDescent="0.3">
      <c r="B116" s="2"/>
    </row>
    <row r="117" spans="1:2" x14ac:dyDescent="0.3">
      <c r="B117" s="2"/>
    </row>
    <row r="118" spans="1:2" x14ac:dyDescent="0.3">
      <c r="B118" s="2"/>
    </row>
    <row r="119" spans="1:2" x14ac:dyDescent="0.3">
      <c r="B119" s="2"/>
    </row>
    <row r="120" spans="1:2" x14ac:dyDescent="0.3">
      <c r="B120" s="2"/>
    </row>
    <row r="121" spans="1:2" x14ac:dyDescent="0.3">
      <c r="B121" s="2"/>
    </row>
    <row r="122" spans="1:2" x14ac:dyDescent="0.3">
      <c r="B122" s="2"/>
    </row>
    <row r="123" spans="1:2" x14ac:dyDescent="0.3">
      <c r="B123" s="2"/>
    </row>
    <row r="124" spans="1:2" x14ac:dyDescent="0.3">
      <c r="B124" s="2"/>
    </row>
    <row r="125" spans="1:2" x14ac:dyDescent="0.3">
      <c r="B125" s="2"/>
    </row>
    <row r="126" spans="1:2" x14ac:dyDescent="0.3">
      <c r="B126" s="2"/>
    </row>
    <row r="127" spans="1:2" x14ac:dyDescent="0.3">
      <c r="B127" s="2"/>
    </row>
    <row r="128" spans="1:2" x14ac:dyDescent="0.3">
      <c r="B128" s="2"/>
    </row>
    <row r="132" spans="1:2" x14ac:dyDescent="0.3">
      <c r="A132">
        <v>171</v>
      </c>
      <c r="B132" s="2">
        <v>50</v>
      </c>
    </row>
    <row r="133" spans="1:2" x14ac:dyDescent="0.3">
      <c r="A133">
        <v>177</v>
      </c>
      <c r="B133" s="2">
        <v>43.298969072164958</v>
      </c>
    </row>
    <row r="134" spans="1:2" x14ac:dyDescent="0.3">
      <c r="A134">
        <v>184</v>
      </c>
      <c r="B134" s="2">
        <v>37.5</v>
      </c>
    </row>
    <row r="135" spans="1:2" x14ac:dyDescent="0.3">
      <c r="A135">
        <v>192</v>
      </c>
      <c r="B135" s="2">
        <v>31.958762886597942</v>
      </c>
    </row>
    <row r="136" spans="1:2" x14ac:dyDescent="0.3">
      <c r="A136">
        <v>201</v>
      </c>
      <c r="B136" s="2">
        <v>25</v>
      </c>
    </row>
    <row r="137" spans="1:2" x14ac:dyDescent="0.3">
      <c r="A137">
        <v>208</v>
      </c>
      <c r="B137" s="2">
        <v>19.587628865979383</v>
      </c>
    </row>
    <row r="138" spans="1:2" x14ac:dyDescent="0.3">
      <c r="A138">
        <v>218</v>
      </c>
      <c r="B138" s="2">
        <v>12.5</v>
      </c>
    </row>
    <row r="139" spans="1:2" x14ac:dyDescent="0.3">
      <c r="B139" s="2"/>
    </row>
    <row r="140" spans="1:2" x14ac:dyDescent="0.3">
      <c r="B140" s="2"/>
    </row>
    <row r="141" spans="1:2" x14ac:dyDescent="0.3">
      <c r="B141" s="2"/>
    </row>
    <row r="142" spans="1:2" x14ac:dyDescent="0.3">
      <c r="B142" s="2"/>
    </row>
    <row r="143" spans="1:2" x14ac:dyDescent="0.3">
      <c r="B143" s="2"/>
    </row>
    <row r="144" spans="1:2" x14ac:dyDescent="0.3">
      <c r="B144" s="2"/>
    </row>
    <row r="145" spans="1:2" x14ac:dyDescent="0.3">
      <c r="B145" s="2"/>
    </row>
    <row r="146" spans="1:2" x14ac:dyDescent="0.3">
      <c r="B146" s="2"/>
    </row>
    <row r="147" spans="1:2" x14ac:dyDescent="0.3">
      <c r="B147" s="2"/>
    </row>
    <row r="148" spans="1:2" x14ac:dyDescent="0.3">
      <c r="B148" s="2"/>
    </row>
    <row r="150" spans="1:2" x14ac:dyDescent="0.3">
      <c r="B150" s="2"/>
    </row>
    <row r="151" spans="1:2" x14ac:dyDescent="0.3">
      <c r="B151" s="2"/>
    </row>
    <row r="152" spans="1:2" x14ac:dyDescent="0.3">
      <c r="A152">
        <v>218</v>
      </c>
      <c r="B152" s="2">
        <v>12.5</v>
      </c>
    </row>
    <row r="153" spans="1:2" x14ac:dyDescent="0.3">
      <c r="A153">
        <v>220</v>
      </c>
      <c r="B153" s="2">
        <f>(B154+B152)/2</f>
        <v>9.375</v>
      </c>
    </row>
    <row r="154" spans="1:2" x14ac:dyDescent="0.3">
      <c r="A154">
        <v>222</v>
      </c>
      <c r="B154" s="2">
        <v>6.25</v>
      </c>
    </row>
    <row r="155" spans="1:2" x14ac:dyDescent="0.3">
      <c r="A155">
        <f>(A154+A156)/2</f>
        <v>224</v>
      </c>
      <c r="B155" s="2">
        <f>3.125</f>
        <v>3.125</v>
      </c>
    </row>
    <row r="156" spans="1:2" x14ac:dyDescent="0.3">
      <c r="A156">
        <v>226</v>
      </c>
      <c r="B156" s="2">
        <v>0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274D9-F920-4180-9E45-6577E2DA06DC}">
  <sheetPr codeName="Tabelle5"/>
  <dimension ref="A1:P18"/>
  <sheetViews>
    <sheetView workbookViewId="0">
      <selection activeCell="A4" sqref="A4"/>
    </sheetView>
  </sheetViews>
  <sheetFormatPr baseColWidth="10" defaultRowHeight="14.4" x14ac:dyDescent="0.3"/>
  <cols>
    <col min="1" max="1" width="12.6640625" bestFit="1" customWidth="1"/>
    <col min="9" max="9" width="14.88671875" bestFit="1" customWidth="1"/>
  </cols>
  <sheetData>
    <row r="1" spans="1:16" x14ac:dyDescent="0.3">
      <c r="B1" s="12" t="s">
        <v>39</v>
      </c>
      <c r="I1" s="12" t="s">
        <v>40</v>
      </c>
    </row>
    <row r="2" spans="1:16" x14ac:dyDescent="0.3">
      <c r="B2" t="s">
        <v>23</v>
      </c>
      <c r="C2" t="s">
        <v>19</v>
      </c>
      <c r="D2" t="s">
        <v>20</v>
      </c>
      <c r="E2" t="s">
        <v>21</v>
      </c>
      <c r="F2" t="s">
        <v>22</v>
      </c>
      <c r="G2" t="s">
        <v>24</v>
      </c>
    </row>
    <row r="3" spans="1:16" x14ac:dyDescent="0.3">
      <c r="B3">
        <v>9.9</v>
      </c>
      <c r="C3">
        <v>0</v>
      </c>
      <c r="D3">
        <v>10</v>
      </c>
      <c r="E3">
        <v>0</v>
      </c>
      <c r="F3">
        <v>1</v>
      </c>
      <c r="G3">
        <f xml:space="preserve"> (E3 + (B3 - C3) * (F3 - E3) / (D3 - C3))</f>
        <v>0.99</v>
      </c>
    </row>
    <row r="4" spans="1:16" x14ac:dyDescent="0.3">
      <c r="A4" t="s">
        <v>49</v>
      </c>
      <c r="B4">
        <v>4</v>
      </c>
      <c r="G4">
        <f>POWER(G3,1/B4)</f>
        <v>0.99749056993368113</v>
      </c>
    </row>
    <row r="8" spans="1:16" x14ac:dyDescent="0.3">
      <c r="B8" s="12" t="s">
        <v>41</v>
      </c>
    </row>
    <row r="9" spans="1:16" x14ac:dyDescent="0.3">
      <c r="B9" t="s">
        <v>25</v>
      </c>
      <c r="C9" t="s">
        <v>26</v>
      </c>
      <c r="D9" t="s">
        <v>27</v>
      </c>
      <c r="E9" t="s">
        <v>28</v>
      </c>
      <c r="F9" t="s">
        <v>29</v>
      </c>
      <c r="G9" t="s">
        <v>30</v>
      </c>
      <c r="I9" s="12" t="s">
        <v>42</v>
      </c>
    </row>
    <row r="10" spans="1:16" x14ac:dyDescent="0.3">
      <c r="A10" t="s">
        <v>32</v>
      </c>
      <c r="B10">
        <f>J11</f>
        <v>1</v>
      </c>
      <c r="C10">
        <v>78</v>
      </c>
      <c r="D10">
        <v>0</v>
      </c>
      <c r="E10">
        <v>218</v>
      </c>
      <c r="F10">
        <v>142</v>
      </c>
      <c r="G10">
        <f xml:space="preserve"> ROUNDDOWN((E10 + (B10 - C10) * (F10 - E10) / (D10 - C10)),0)</f>
        <v>142</v>
      </c>
      <c r="I10" t="s">
        <v>31</v>
      </c>
      <c r="J10">
        <v>0.96299999999999997</v>
      </c>
      <c r="K10">
        <f>J10*100</f>
        <v>96.3</v>
      </c>
    </row>
    <row r="11" spans="1:16" x14ac:dyDescent="0.3">
      <c r="A11" t="s">
        <v>33</v>
      </c>
      <c r="B11">
        <f>J12</f>
        <v>0</v>
      </c>
      <c r="C11">
        <v>78</v>
      </c>
      <c r="D11">
        <v>0</v>
      </c>
      <c r="E11">
        <v>218</v>
      </c>
      <c r="F11">
        <v>142</v>
      </c>
      <c r="G11">
        <f xml:space="preserve"> ROUNDDOWN((E11 + (B11 - C11) * (F11 - E11) / (D11 - C11)),0)</f>
        <v>142</v>
      </c>
      <c r="I11" t="s">
        <v>36</v>
      </c>
      <c r="J11">
        <v>1</v>
      </c>
    </row>
    <row r="12" spans="1:16" x14ac:dyDescent="0.3">
      <c r="I12" t="s">
        <v>37</v>
      </c>
      <c r="J12">
        <v>0</v>
      </c>
      <c r="K12" t="s">
        <v>44</v>
      </c>
      <c r="L12" t="s">
        <v>7</v>
      </c>
      <c r="M12" s="14" t="s">
        <v>45</v>
      </c>
      <c r="N12" t="s">
        <v>46</v>
      </c>
      <c r="O12" t="s">
        <v>47</v>
      </c>
      <c r="P12" t="s">
        <v>3</v>
      </c>
    </row>
    <row r="13" spans="1:16" x14ac:dyDescent="0.3">
      <c r="I13" s="10" t="s">
        <v>34</v>
      </c>
      <c r="J13" s="10">
        <v>0.96299999999999997</v>
      </c>
      <c r="K13">
        <f>J14-J13</f>
        <v>3.4490569933681159E-2</v>
      </c>
      <c r="L13">
        <f>J15-J13</f>
        <v>3.7000000000000033E-2</v>
      </c>
      <c r="M13" s="14">
        <f>IF(L13=0,0,1-K13/L13)*100</f>
        <v>6.782243422483436</v>
      </c>
      <c r="N13">
        <f>J13*M13/100</f>
        <v>6.5313004158515486E-2</v>
      </c>
      <c r="O13">
        <f>ROUNDDOWN(IF(M13=0,0,(M13/100)*10),0)</f>
        <v>0</v>
      </c>
      <c r="P13">
        <f>G10</f>
        <v>142</v>
      </c>
    </row>
    <row r="14" spans="1:16" x14ac:dyDescent="0.3">
      <c r="I14" s="14" t="s">
        <v>43</v>
      </c>
      <c r="J14" s="14">
        <f>G4</f>
        <v>0.99749056993368113</v>
      </c>
      <c r="M14" s="14"/>
      <c r="P14">
        <f>G11</f>
        <v>142</v>
      </c>
    </row>
    <row r="15" spans="1:16" x14ac:dyDescent="0.3">
      <c r="I15" s="13" t="s">
        <v>35</v>
      </c>
      <c r="J15" s="13">
        <v>1</v>
      </c>
      <c r="K15">
        <f>J15-J14</f>
        <v>2.509430066318874E-3</v>
      </c>
      <c r="L15">
        <f>L13</f>
        <v>3.7000000000000033E-2</v>
      </c>
      <c r="M15" s="14">
        <f>IF(L15=0,0,1-K15/L15)*100</f>
        <v>93.217756577516568</v>
      </c>
      <c r="N15">
        <f>J15*M15/100</f>
        <v>0.93217756577516564</v>
      </c>
      <c r="O15">
        <f>ROUNDDOWN(IF(M15=0,0,(M15/100)*10),0)</f>
        <v>9</v>
      </c>
    </row>
    <row r="16" spans="1:16" x14ac:dyDescent="0.3">
      <c r="N16">
        <f>N13+N15</f>
        <v>0.99749056993368113</v>
      </c>
    </row>
    <row r="17" spans="9:14" x14ac:dyDescent="0.3">
      <c r="M17" s="15" t="s">
        <v>48</v>
      </c>
      <c r="N17">
        <f>N16*100</f>
        <v>99.749056993368114</v>
      </c>
    </row>
    <row r="18" spans="9:14" x14ac:dyDescent="0.3">
      <c r="I18" t="s">
        <v>38</v>
      </c>
      <c r="J18">
        <f>(J13+J15)/2</f>
        <v>0.98150000000000004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abelle5.Main">
                <anchor moveWithCells="1" sizeWithCells="1">
                  <from>
                    <xdr:col>8</xdr:col>
                    <xdr:colOff>53340</xdr:colOff>
                    <xdr:row>1</xdr:row>
                    <xdr:rowOff>38100</xdr:rowOff>
                  </from>
                  <to>
                    <xdr:col>9</xdr:col>
                    <xdr:colOff>632460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Tabelle1</vt:lpstr>
      <vt:lpstr>G29 Break Force RAW-DATA</vt:lpstr>
      <vt:lpstr>G29 Break Force RAW-DATA (2)</vt:lpstr>
      <vt:lpstr>G29 Break Force Corrected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2020-12-22T11:53:03Z</dcterms:created>
  <dcterms:modified xsi:type="dcterms:W3CDTF">2021-01-14T07:18:03Z</dcterms:modified>
</cp:coreProperties>
</file>